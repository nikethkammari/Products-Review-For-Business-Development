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18d42f431335805c/Documents/"/>
    </mc:Choice>
  </mc:AlternateContent>
  <xr:revisionPtr revIDLastSave="463" documentId="8_{CDAE5C5E-CCE4-45E5-840D-04EDFF425D8A}" xr6:coauthVersionLast="47" xr6:coauthVersionMax="47" xr10:uidLastSave="{9D0EF547-7502-4B9C-A83F-4CD5CF3C4B80}"/>
  <bookViews>
    <workbookView xWindow="-108" yWindow="-108" windowWidth="23256" windowHeight="12456" firstSheet="1" activeTab="3" xr2:uid="{17844BAA-7E2A-4178-80F5-D7E84AF10307}"/>
  </bookViews>
  <sheets>
    <sheet name="Clean_Data" sheetId="1" r:id="rId1"/>
    <sheet name="Calculations" sheetId="3" r:id="rId2"/>
    <sheet name="Pivot_Analysis" sheetId="7" r:id="rId3"/>
    <sheet name="Summary_Dashboard" sheetId="5" r:id="rId4"/>
  </sheets>
  <definedNames>
    <definedName name="Slicer_Category">#N/A</definedName>
    <definedName name="Slicer_Product_Arche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3" i="3" l="1"/>
  <c r="Y6"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2" i="3"/>
  <c r="N499" i="3"/>
  <c r="N500" i="3"/>
  <c r="N501" i="3"/>
  <c r="O3" i="3"/>
  <c r="O4" i="3"/>
  <c r="Y4" i="3" s="1"/>
  <c r="O5" i="3"/>
  <c r="Y5" i="3" s="1"/>
  <c r="O6" i="3"/>
  <c r="O7" i="3"/>
  <c r="Y7" i="3" s="1"/>
  <c r="O8" i="3"/>
  <c r="Y8" i="3" s="1"/>
  <c r="O9" i="3"/>
  <c r="Y9" i="3" s="1"/>
  <c r="O10" i="3"/>
  <c r="Y10" i="3" s="1"/>
  <c r="O11" i="3"/>
  <c r="Y11" i="3" s="1"/>
  <c r="O12" i="3"/>
  <c r="Y12" i="3" s="1"/>
  <c r="O13" i="3"/>
  <c r="Y13" i="3" s="1"/>
  <c r="O14" i="3"/>
  <c r="Y14" i="3" s="1"/>
  <c r="O15" i="3"/>
  <c r="Y15" i="3" s="1"/>
  <c r="O16" i="3"/>
  <c r="Y16" i="3" s="1"/>
  <c r="O17" i="3"/>
  <c r="Y17" i="3" s="1"/>
  <c r="O18" i="3"/>
  <c r="Y18" i="3" s="1"/>
  <c r="O19" i="3"/>
  <c r="Y19" i="3" s="1"/>
  <c r="O20" i="3"/>
  <c r="Y20" i="3" s="1"/>
  <c r="O21" i="3"/>
  <c r="Y21" i="3" s="1"/>
  <c r="O22" i="3"/>
  <c r="Y22" i="3" s="1"/>
  <c r="O23" i="3"/>
  <c r="Y23" i="3" s="1"/>
  <c r="O24" i="3"/>
  <c r="Y24" i="3" s="1"/>
  <c r="O25" i="3"/>
  <c r="Y25" i="3" s="1"/>
  <c r="O26" i="3"/>
  <c r="Y26" i="3" s="1"/>
  <c r="O27" i="3"/>
  <c r="Y27" i="3" s="1"/>
  <c r="O28" i="3"/>
  <c r="Y28" i="3" s="1"/>
  <c r="O29" i="3"/>
  <c r="Y29" i="3" s="1"/>
  <c r="O30" i="3"/>
  <c r="Y30" i="3" s="1"/>
  <c r="O31" i="3"/>
  <c r="Y31" i="3" s="1"/>
  <c r="O32" i="3"/>
  <c r="Y32" i="3" s="1"/>
  <c r="O33" i="3"/>
  <c r="Y33" i="3" s="1"/>
  <c r="O34" i="3"/>
  <c r="Y34" i="3" s="1"/>
  <c r="O35" i="3"/>
  <c r="Y35" i="3" s="1"/>
  <c r="O36" i="3"/>
  <c r="Y36" i="3" s="1"/>
  <c r="O37" i="3"/>
  <c r="Y37" i="3" s="1"/>
  <c r="O38" i="3"/>
  <c r="Y38" i="3" s="1"/>
  <c r="O39" i="3"/>
  <c r="Y39" i="3" s="1"/>
  <c r="O40" i="3"/>
  <c r="Y40" i="3" s="1"/>
  <c r="O41" i="3"/>
  <c r="Y41" i="3" s="1"/>
  <c r="O42" i="3"/>
  <c r="Y42" i="3" s="1"/>
  <c r="O43" i="3"/>
  <c r="Y43" i="3" s="1"/>
  <c r="O44" i="3"/>
  <c r="Y44" i="3" s="1"/>
  <c r="O45" i="3"/>
  <c r="Y45" i="3" s="1"/>
  <c r="O46" i="3"/>
  <c r="Y46" i="3" s="1"/>
  <c r="O47" i="3"/>
  <c r="Y47" i="3" s="1"/>
  <c r="O48" i="3"/>
  <c r="Y48" i="3" s="1"/>
  <c r="O49" i="3"/>
  <c r="Y49" i="3" s="1"/>
  <c r="O50" i="3"/>
  <c r="Y50" i="3" s="1"/>
  <c r="O51" i="3"/>
  <c r="Y51" i="3" s="1"/>
  <c r="O52" i="3"/>
  <c r="Y52" i="3" s="1"/>
  <c r="O53" i="3"/>
  <c r="Y53" i="3" s="1"/>
  <c r="O54" i="3"/>
  <c r="Y54" i="3" s="1"/>
  <c r="O55" i="3"/>
  <c r="Y55" i="3" s="1"/>
  <c r="O56" i="3"/>
  <c r="Y56" i="3" s="1"/>
  <c r="O57" i="3"/>
  <c r="Y57" i="3" s="1"/>
  <c r="O58" i="3"/>
  <c r="Y58" i="3" s="1"/>
  <c r="O59" i="3"/>
  <c r="Y59" i="3" s="1"/>
  <c r="O60" i="3"/>
  <c r="Y60" i="3" s="1"/>
  <c r="O61" i="3"/>
  <c r="Y61" i="3" s="1"/>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O62" i="3" s="1"/>
  <c r="Y62" i="3" s="1"/>
  <c r="N63" i="3"/>
  <c r="O63" i="3" s="1"/>
  <c r="Y63" i="3" s="1"/>
  <c r="N64" i="3"/>
  <c r="O64" i="3" s="1"/>
  <c r="Y64" i="3" s="1"/>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O118" i="3" s="1"/>
  <c r="Y118" i="3" s="1"/>
  <c r="N119" i="3"/>
  <c r="O119" i="3" s="1"/>
  <c r="Y119" i="3" s="1"/>
  <c r="N120" i="3"/>
  <c r="O120" i="3" s="1"/>
  <c r="Y120" i="3" s="1"/>
  <c r="N121" i="3"/>
  <c r="O121" i="3" s="1"/>
  <c r="Y121" i="3" s="1"/>
  <c r="N122" i="3"/>
  <c r="O122" i="3" s="1"/>
  <c r="Y122" i="3" s="1"/>
  <c r="N123" i="3"/>
  <c r="O123" i="3" s="1"/>
  <c r="Y123" i="3" s="1"/>
  <c r="N124" i="3"/>
  <c r="O124" i="3" s="1"/>
  <c r="Y124" i="3" s="1"/>
  <c r="N125" i="3"/>
  <c r="O125" i="3" s="1"/>
  <c r="Y125" i="3" s="1"/>
  <c r="N126" i="3"/>
  <c r="O126" i="3" s="1"/>
  <c r="Y126" i="3" s="1"/>
  <c r="N127" i="3"/>
  <c r="O127" i="3" s="1"/>
  <c r="Y127" i="3" s="1"/>
  <c r="N128" i="3"/>
  <c r="O128" i="3" s="1"/>
  <c r="Y128" i="3" s="1"/>
  <c r="N129" i="3"/>
  <c r="O129" i="3" s="1"/>
  <c r="Y129" i="3" s="1"/>
  <c r="N130" i="3"/>
  <c r="O130" i="3" s="1"/>
  <c r="Y130" i="3" s="1"/>
  <c r="N131" i="3"/>
  <c r="O131" i="3" s="1"/>
  <c r="Y131" i="3" s="1"/>
  <c r="N132" i="3"/>
  <c r="O132" i="3" s="1"/>
  <c r="Y132" i="3" s="1"/>
  <c r="N133" i="3"/>
  <c r="O133" i="3" s="1"/>
  <c r="Y133" i="3" s="1"/>
  <c r="N134" i="3"/>
  <c r="O134" i="3" s="1"/>
  <c r="Y134" i="3" s="1"/>
  <c r="N135" i="3"/>
  <c r="O135" i="3" s="1"/>
  <c r="Y135" i="3" s="1"/>
  <c r="N136" i="3"/>
  <c r="O136" i="3" s="1"/>
  <c r="Y136" i="3" s="1"/>
  <c r="N137" i="3"/>
  <c r="O137" i="3" s="1"/>
  <c r="Y137" i="3" s="1"/>
  <c r="N138" i="3"/>
  <c r="O138" i="3" s="1"/>
  <c r="Y138" i="3" s="1"/>
  <c r="N139" i="3"/>
  <c r="O139" i="3" s="1"/>
  <c r="Y139" i="3" s="1"/>
  <c r="N140" i="3"/>
  <c r="O140" i="3" s="1"/>
  <c r="Y140" i="3" s="1"/>
  <c r="N141" i="3"/>
  <c r="O141" i="3" s="1"/>
  <c r="Y141" i="3" s="1"/>
  <c r="N142" i="3"/>
  <c r="O142" i="3" s="1"/>
  <c r="Y142" i="3" s="1"/>
  <c r="N143" i="3"/>
  <c r="O143" i="3" s="1"/>
  <c r="Y143" i="3" s="1"/>
  <c r="N144" i="3"/>
  <c r="O144" i="3" s="1"/>
  <c r="Y144" i="3" s="1"/>
  <c r="N145" i="3"/>
  <c r="O145" i="3" s="1"/>
  <c r="Y145" i="3" s="1"/>
  <c r="N146" i="3"/>
  <c r="O146" i="3" s="1"/>
  <c r="Y146" i="3" s="1"/>
  <c r="N147" i="3"/>
  <c r="O147" i="3" s="1"/>
  <c r="Y147" i="3" s="1"/>
  <c r="N148" i="3"/>
  <c r="O148" i="3" s="1"/>
  <c r="Y148" i="3" s="1"/>
  <c r="N149" i="3"/>
  <c r="O149" i="3" s="1"/>
  <c r="Y149" i="3" s="1"/>
  <c r="N150" i="3"/>
  <c r="O150" i="3" s="1"/>
  <c r="Y150" i="3" s="1"/>
  <c r="N151" i="3"/>
  <c r="O151" i="3" s="1"/>
  <c r="Y151" i="3" s="1"/>
  <c r="N152" i="3"/>
  <c r="O152" i="3" s="1"/>
  <c r="Y152" i="3" s="1"/>
  <c r="N153" i="3"/>
  <c r="O153" i="3" s="1"/>
  <c r="Y153" i="3" s="1"/>
  <c r="N154" i="3"/>
  <c r="O154" i="3" s="1"/>
  <c r="Y154" i="3" s="1"/>
  <c r="N155" i="3"/>
  <c r="O155" i="3" s="1"/>
  <c r="Y155" i="3" s="1"/>
  <c r="N156" i="3"/>
  <c r="O156" i="3" s="1"/>
  <c r="Y156" i="3" s="1"/>
  <c r="N157" i="3"/>
  <c r="O157" i="3" s="1"/>
  <c r="Y157" i="3" s="1"/>
  <c r="N158" i="3"/>
  <c r="O158" i="3" s="1"/>
  <c r="Y158" i="3" s="1"/>
  <c r="N159" i="3"/>
  <c r="O159" i="3" s="1"/>
  <c r="Y159" i="3" s="1"/>
  <c r="N160" i="3"/>
  <c r="O160" i="3" s="1"/>
  <c r="Y160" i="3" s="1"/>
  <c r="N161" i="3"/>
  <c r="O161" i="3" s="1"/>
  <c r="Y161" i="3" s="1"/>
  <c r="N162" i="3"/>
  <c r="O162" i="3" s="1"/>
  <c r="Y162" i="3" s="1"/>
  <c r="N163" i="3"/>
  <c r="O163" i="3" s="1"/>
  <c r="Y163" i="3" s="1"/>
  <c r="N164" i="3"/>
  <c r="O164" i="3" s="1"/>
  <c r="Y164" i="3" s="1"/>
  <c r="N165" i="3"/>
  <c r="O165" i="3" s="1"/>
  <c r="Y165" i="3" s="1"/>
  <c r="N166" i="3"/>
  <c r="O166" i="3" s="1"/>
  <c r="Y166" i="3" s="1"/>
  <c r="N167" i="3"/>
  <c r="O167" i="3" s="1"/>
  <c r="Y167" i="3" s="1"/>
  <c r="N168" i="3"/>
  <c r="O168" i="3" s="1"/>
  <c r="Y168" i="3" s="1"/>
  <c r="N169" i="3"/>
  <c r="O169" i="3" s="1"/>
  <c r="Y169" i="3" s="1"/>
  <c r="N170" i="3"/>
  <c r="O170" i="3" s="1"/>
  <c r="Y170" i="3" s="1"/>
  <c r="N171" i="3"/>
  <c r="O171" i="3" s="1"/>
  <c r="Y171" i="3" s="1"/>
  <c r="N172" i="3"/>
  <c r="O172" i="3" s="1"/>
  <c r="Y172" i="3" s="1"/>
  <c r="N173" i="3"/>
  <c r="O173" i="3" s="1"/>
  <c r="Y173" i="3" s="1"/>
  <c r="N174" i="3"/>
  <c r="O174" i="3" s="1"/>
  <c r="Y174" i="3" s="1"/>
  <c r="N175" i="3"/>
  <c r="O175" i="3" s="1"/>
  <c r="Y175" i="3" s="1"/>
  <c r="N176" i="3"/>
  <c r="O176" i="3" s="1"/>
  <c r="Y176" i="3" s="1"/>
  <c r="N177" i="3"/>
  <c r="O177" i="3" s="1"/>
  <c r="Y177" i="3" s="1"/>
  <c r="N178" i="3"/>
  <c r="O178" i="3" s="1"/>
  <c r="Y178" i="3" s="1"/>
  <c r="N179" i="3"/>
  <c r="O179" i="3" s="1"/>
  <c r="Y179" i="3" s="1"/>
  <c r="N180" i="3"/>
  <c r="O180" i="3" s="1"/>
  <c r="Y180" i="3" s="1"/>
  <c r="N181" i="3"/>
  <c r="O181" i="3" s="1"/>
  <c r="Y181" i="3" s="1"/>
  <c r="N182" i="3"/>
  <c r="O182" i="3" s="1"/>
  <c r="Y182" i="3" s="1"/>
  <c r="N183" i="3"/>
  <c r="O183" i="3" s="1"/>
  <c r="Y183" i="3" s="1"/>
  <c r="N184" i="3"/>
  <c r="O184" i="3" s="1"/>
  <c r="Y184" i="3" s="1"/>
  <c r="N185" i="3"/>
  <c r="O185" i="3" s="1"/>
  <c r="Y185" i="3" s="1"/>
  <c r="N186" i="3"/>
  <c r="O186" i="3" s="1"/>
  <c r="Y186" i="3" s="1"/>
  <c r="N187" i="3"/>
  <c r="O187" i="3" s="1"/>
  <c r="Y187" i="3" s="1"/>
  <c r="N188" i="3"/>
  <c r="O188" i="3" s="1"/>
  <c r="Y188" i="3" s="1"/>
  <c r="N189" i="3"/>
  <c r="O189" i="3" s="1"/>
  <c r="Y189" i="3" s="1"/>
  <c r="N190" i="3"/>
  <c r="O190" i="3" s="1"/>
  <c r="Y190" i="3" s="1"/>
  <c r="N191" i="3"/>
  <c r="O191" i="3" s="1"/>
  <c r="Y191" i="3" s="1"/>
  <c r="N192" i="3"/>
  <c r="O192" i="3" s="1"/>
  <c r="Y192" i="3" s="1"/>
  <c r="N193" i="3"/>
  <c r="O193" i="3" s="1"/>
  <c r="Y193" i="3" s="1"/>
  <c r="N194" i="3"/>
  <c r="O194" i="3" s="1"/>
  <c r="Y194" i="3" s="1"/>
  <c r="N195" i="3"/>
  <c r="O195" i="3" s="1"/>
  <c r="Y195" i="3" s="1"/>
  <c r="N196" i="3"/>
  <c r="O196" i="3" s="1"/>
  <c r="Y196" i="3" s="1"/>
  <c r="N197" i="3"/>
  <c r="O197" i="3" s="1"/>
  <c r="Y197" i="3" s="1"/>
  <c r="N198" i="3"/>
  <c r="O198" i="3" s="1"/>
  <c r="Y198" i="3" s="1"/>
  <c r="N199" i="3"/>
  <c r="O199" i="3" s="1"/>
  <c r="Y199" i="3" s="1"/>
  <c r="N200" i="3"/>
  <c r="O200" i="3" s="1"/>
  <c r="Y200" i="3" s="1"/>
  <c r="N201" i="3"/>
  <c r="O201" i="3" s="1"/>
  <c r="Y201" i="3" s="1"/>
  <c r="N202" i="3"/>
  <c r="O202" i="3" s="1"/>
  <c r="Y202" i="3" s="1"/>
  <c r="N203" i="3"/>
  <c r="O203" i="3" s="1"/>
  <c r="Y203" i="3" s="1"/>
  <c r="N204" i="3"/>
  <c r="O204" i="3" s="1"/>
  <c r="Y204" i="3" s="1"/>
  <c r="N205" i="3"/>
  <c r="O205" i="3" s="1"/>
  <c r="Y205" i="3" s="1"/>
  <c r="N206" i="3"/>
  <c r="O206" i="3" s="1"/>
  <c r="Y206" i="3" s="1"/>
  <c r="N207" i="3"/>
  <c r="O207" i="3" s="1"/>
  <c r="Y207" i="3" s="1"/>
  <c r="N208" i="3"/>
  <c r="O208" i="3" s="1"/>
  <c r="Y208" i="3" s="1"/>
  <c r="N209" i="3"/>
  <c r="O209" i="3" s="1"/>
  <c r="Y209" i="3" s="1"/>
  <c r="N210" i="3"/>
  <c r="O210" i="3" s="1"/>
  <c r="Y210" i="3" s="1"/>
  <c r="N211" i="3"/>
  <c r="O211" i="3" s="1"/>
  <c r="Y211" i="3" s="1"/>
  <c r="N212" i="3"/>
  <c r="O212" i="3" s="1"/>
  <c r="Y212" i="3" s="1"/>
  <c r="N213" i="3"/>
  <c r="O213" i="3" s="1"/>
  <c r="Y213" i="3" s="1"/>
  <c r="N214" i="3"/>
  <c r="O214" i="3" s="1"/>
  <c r="Y214" i="3" s="1"/>
  <c r="N215" i="3"/>
  <c r="O215" i="3" s="1"/>
  <c r="Y215" i="3" s="1"/>
  <c r="N216" i="3"/>
  <c r="O216" i="3" s="1"/>
  <c r="Y216" i="3" s="1"/>
  <c r="N217" i="3"/>
  <c r="O217" i="3" s="1"/>
  <c r="Y217" i="3" s="1"/>
  <c r="N218" i="3"/>
  <c r="O218" i="3" s="1"/>
  <c r="Y218" i="3" s="1"/>
  <c r="N219" i="3"/>
  <c r="O219" i="3" s="1"/>
  <c r="Y219" i="3" s="1"/>
  <c r="N220" i="3"/>
  <c r="O220" i="3" s="1"/>
  <c r="Y220" i="3" s="1"/>
  <c r="N221" i="3"/>
  <c r="O221" i="3" s="1"/>
  <c r="Y221" i="3" s="1"/>
  <c r="N222" i="3"/>
  <c r="O222" i="3" s="1"/>
  <c r="Y222" i="3" s="1"/>
  <c r="N223" i="3"/>
  <c r="O223" i="3" s="1"/>
  <c r="Y223" i="3" s="1"/>
  <c r="N224" i="3"/>
  <c r="O224" i="3" s="1"/>
  <c r="Y224" i="3" s="1"/>
  <c r="N225" i="3"/>
  <c r="O225" i="3" s="1"/>
  <c r="Y225" i="3" s="1"/>
  <c r="N226" i="3"/>
  <c r="O226" i="3" s="1"/>
  <c r="Y226" i="3" s="1"/>
  <c r="N227" i="3"/>
  <c r="O227" i="3" s="1"/>
  <c r="Y227" i="3" s="1"/>
  <c r="N228" i="3"/>
  <c r="O228" i="3" s="1"/>
  <c r="Y228" i="3" s="1"/>
  <c r="N229" i="3"/>
  <c r="O229" i="3" s="1"/>
  <c r="Y229" i="3" s="1"/>
  <c r="N230" i="3"/>
  <c r="O230" i="3" s="1"/>
  <c r="Y230" i="3" s="1"/>
  <c r="N231" i="3"/>
  <c r="O231" i="3" s="1"/>
  <c r="Y231" i="3" s="1"/>
  <c r="N232" i="3"/>
  <c r="O232" i="3" s="1"/>
  <c r="Y232" i="3" s="1"/>
  <c r="N233" i="3"/>
  <c r="O233" i="3" s="1"/>
  <c r="Y233" i="3" s="1"/>
  <c r="N234" i="3"/>
  <c r="O234" i="3" s="1"/>
  <c r="Y234" i="3" s="1"/>
  <c r="N235" i="3"/>
  <c r="O235" i="3" s="1"/>
  <c r="Y235" i="3" s="1"/>
  <c r="N236" i="3"/>
  <c r="O236" i="3" s="1"/>
  <c r="Y236" i="3" s="1"/>
  <c r="N237" i="3"/>
  <c r="O237" i="3" s="1"/>
  <c r="Y237" i="3" s="1"/>
  <c r="N238" i="3"/>
  <c r="O238" i="3" s="1"/>
  <c r="Y238" i="3" s="1"/>
  <c r="N239" i="3"/>
  <c r="O239" i="3" s="1"/>
  <c r="Y239" i="3" s="1"/>
  <c r="N240" i="3"/>
  <c r="O240" i="3" s="1"/>
  <c r="Y240" i="3" s="1"/>
  <c r="N241" i="3"/>
  <c r="O241" i="3" s="1"/>
  <c r="Y241" i="3" s="1"/>
  <c r="N242" i="3"/>
  <c r="O242" i="3" s="1"/>
  <c r="Y242" i="3" s="1"/>
  <c r="N243" i="3"/>
  <c r="O243" i="3" s="1"/>
  <c r="Y243" i="3" s="1"/>
  <c r="N244" i="3"/>
  <c r="O244" i="3" s="1"/>
  <c r="Y244" i="3" s="1"/>
  <c r="N245" i="3"/>
  <c r="O245" i="3" s="1"/>
  <c r="Y245" i="3" s="1"/>
  <c r="N246" i="3"/>
  <c r="O246" i="3" s="1"/>
  <c r="Y246" i="3" s="1"/>
  <c r="N247" i="3"/>
  <c r="O247" i="3" s="1"/>
  <c r="Y247" i="3" s="1"/>
  <c r="N248" i="3"/>
  <c r="O248" i="3" s="1"/>
  <c r="Y248" i="3" s="1"/>
  <c r="N249" i="3"/>
  <c r="O249" i="3" s="1"/>
  <c r="Y249" i="3" s="1"/>
  <c r="N250" i="3"/>
  <c r="O250" i="3" s="1"/>
  <c r="Y250" i="3" s="1"/>
  <c r="N251" i="3"/>
  <c r="O251" i="3" s="1"/>
  <c r="Y251" i="3" s="1"/>
  <c r="N252" i="3"/>
  <c r="O252" i="3" s="1"/>
  <c r="Y252" i="3" s="1"/>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2" i="3"/>
  <c r="P499" i="3" l="1"/>
  <c r="O499" i="3"/>
  <c r="Y499" i="3" s="1"/>
  <c r="O500" i="3"/>
  <c r="Y500" i="3" s="1"/>
  <c r="P500" i="3"/>
  <c r="O501" i="3"/>
  <c r="Y501" i="3" s="1"/>
  <c r="P501" i="3"/>
  <c r="O65" i="3"/>
  <c r="Y65" i="3" s="1"/>
  <c r="P65" i="3"/>
  <c r="P66" i="3"/>
  <c r="O66" i="3"/>
  <c r="Y66" i="3" s="1"/>
  <c r="P67" i="3"/>
  <c r="O67" i="3"/>
  <c r="Y67" i="3" s="1"/>
  <c r="P68" i="3"/>
  <c r="O68" i="3"/>
  <c r="Y68" i="3" s="1"/>
  <c r="O69" i="3"/>
  <c r="Y69" i="3" s="1"/>
  <c r="P69" i="3"/>
  <c r="O70" i="3"/>
  <c r="Y70" i="3" s="1"/>
  <c r="P70" i="3"/>
  <c r="O71" i="3"/>
  <c r="Y71" i="3" s="1"/>
  <c r="P71" i="3"/>
  <c r="O72" i="3"/>
  <c r="Y72" i="3" s="1"/>
  <c r="P72" i="3"/>
  <c r="P73" i="3"/>
  <c r="O73" i="3"/>
  <c r="Y73" i="3" s="1"/>
  <c r="P74" i="3"/>
  <c r="O74" i="3"/>
  <c r="Y74" i="3" s="1"/>
  <c r="O75" i="3"/>
  <c r="Y75" i="3" s="1"/>
  <c r="P75" i="3"/>
  <c r="P76" i="3"/>
  <c r="O76" i="3"/>
  <c r="Y76" i="3" s="1"/>
  <c r="P77" i="3"/>
  <c r="O77" i="3"/>
  <c r="Y77" i="3" s="1"/>
  <c r="P78" i="3"/>
  <c r="O78" i="3"/>
  <c r="Y78" i="3" s="1"/>
  <c r="P79" i="3"/>
  <c r="O79" i="3"/>
  <c r="Y79" i="3" s="1"/>
  <c r="P80" i="3"/>
  <c r="O80" i="3"/>
  <c r="Y80" i="3" s="1"/>
  <c r="P81" i="3"/>
  <c r="O81" i="3"/>
  <c r="Y81" i="3" s="1"/>
  <c r="P82" i="3"/>
  <c r="O82" i="3"/>
  <c r="Y82" i="3" s="1"/>
  <c r="P83" i="3"/>
  <c r="O83" i="3"/>
  <c r="Y83" i="3" s="1"/>
  <c r="O84" i="3"/>
  <c r="Y84" i="3" s="1"/>
  <c r="P84" i="3"/>
  <c r="O85" i="3"/>
  <c r="Y85" i="3" s="1"/>
  <c r="P85" i="3"/>
  <c r="O86" i="3"/>
  <c r="Y86" i="3" s="1"/>
  <c r="P86" i="3"/>
  <c r="P87" i="3"/>
  <c r="O87" i="3"/>
  <c r="Y87" i="3" s="1"/>
  <c r="P88" i="3"/>
  <c r="O88" i="3"/>
  <c r="Y88" i="3" s="1"/>
  <c r="P89" i="3"/>
  <c r="O89" i="3"/>
  <c r="Y89" i="3" s="1"/>
  <c r="P90" i="3"/>
  <c r="O90" i="3"/>
  <c r="Y90" i="3" s="1"/>
  <c r="P91" i="3"/>
  <c r="O91" i="3"/>
  <c r="Y91" i="3" s="1"/>
  <c r="P92" i="3"/>
  <c r="O92" i="3"/>
  <c r="Y92" i="3" s="1"/>
  <c r="P93" i="3"/>
  <c r="O93" i="3"/>
  <c r="Y93" i="3" s="1"/>
  <c r="P94" i="3"/>
  <c r="O94" i="3"/>
  <c r="Y94" i="3" s="1"/>
  <c r="P95" i="3"/>
  <c r="O95" i="3"/>
  <c r="Y95" i="3" s="1"/>
  <c r="P96" i="3"/>
  <c r="O96" i="3"/>
  <c r="Y96" i="3" s="1"/>
  <c r="P97" i="3"/>
  <c r="O97" i="3"/>
  <c r="Y97" i="3" s="1"/>
  <c r="P98" i="3"/>
  <c r="O98" i="3"/>
  <c r="Y98" i="3" s="1"/>
  <c r="P99" i="3"/>
  <c r="O99" i="3"/>
  <c r="Y99" i="3" s="1"/>
  <c r="P100" i="3"/>
  <c r="O100" i="3"/>
  <c r="Y100" i="3" s="1"/>
  <c r="P101" i="3"/>
  <c r="O101" i="3"/>
  <c r="Y101" i="3" s="1"/>
  <c r="P102" i="3"/>
  <c r="O102" i="3"/>
  <c r="Y102" i="3" s="1"/>
  <c r="O103" i="3"/>
  <c r="Y103" i="3" s="1"/>
  <c r="P103" i="3"/>
  <c r="O104" i="3"/>
  <c r="Y104" i="3" s="1"/>
  <c r="P104" i="3"/>
  <c r="O105" i="3"/>
  <c r="Y105" i="3" s="1"/>
  <c r="P105" i="3"/>
  <c r="O106" i="3"/>
  <c r="Y106" i="3" s="1"/>
  <c r="P106" i="3"/>
  <c r="O107" i="3"/>
  <c r="Y107" i="3" s="1"/>
  <c r="P107" i="3"/>
  <c r="O108" i="3"/>
  <c r="Y108" i="3" s="1"/>
  <c r="P108" i="3"/>
  <c r="P109" i="3"/>
  <c r="O109" i="3"/>
  <c r="Y109" i="3" s="1"/>
  <c r="P110" i="3"/>
  <c r="O110" i="3"/>
  <c r="Y110" i="3" s="1"/>
  <c r="P111" i="3"/>
  <c r="O111" i="3"/>
  <c r="Y111" i="3" s="1"/>
  <c r="P112" i="3"/>
  <c r="O112" i="3"/>
  <c r="Y112" i="3" s="1"/>
  <c r="P113" i="3"/>
  <c r="O113" i="3"/>
  <c r="Y113" i="3" s="1"/>
  <c r="O114" i="3"/>
  <c r="Y114" i="3" s="1"/>
  <c r="P114" i="3"/>
  <c r="P115" i="3"/>
  <c r="O115" i="3"/>
  <c r="Y115" i="3" s="1"/>
  <c r="P116" i="3"/>
  <c r="O116" i="3"/>
  <c r="Y116" i="3" s="1"/>
  <c r="P117" i="3"/>
  <c r="O117" i="3"/>
  <c r="Y117" i="3" s="1"/>
  <c r="P253" i="3"/>
  <c r="O253" i="3"/>
  <c r="Y253" i="3" s="1"/>
  <c r="P254" i="3"/>
  <c r="O254" i="3"/>
  <c r="Y254" i="3" s="1"/>
  <c r="P255" i="3"/>
  <c r="O255" i="3"/>
  <c r="Y255" i="3" s="1"/>
  <c r="P256" i="3"/>
  <c r="O256" i="3"/>
  <c r="Y256" i="3" s="1"/>
  <c r="P257" i="3"/>
  <c r="O257" i="3"/>
  <c r="Y257" i="3" s="1"/>
  <c r="P258" i="3"/>
  <c r="O258" i="3"/>
  <c r="Y258" i="3" s="1"/>
  <c r="P259" i="3"/>
  <c r="O259" i="3"/>
  <c r="Y259" i="3" s="1"/>
  <c r="P260" i="3"/>
  <c r="O260" i="3"/>
  <c r="Y260" i="3" s="1"/>
  <c r="P261" i="3"/>
  <c r="O261" i="3"/>
  <c r="Y261" i="3" s="1"/>
  <c r="P262" i="3"/>
  <c r="O262" i="3"/>
  <c r="Y262" i="3" s="1"/>
  <c r="P263" i="3"/>
  <c r="O263" i="3"/>
  <c r="Y263" i="3" s="1"/>
  <c r="P264" i="3"/>
  <c r="O264" i="3"/>
  <c r="Y264" i="3" s="1"/>
  <c r="P265" i="3"/>
  <c r="O265" i="3"/>
  <c r="Y265" i="3" s="1"/>
  <c r="P266" i="3"/>
  <c r="O266" i="3"/>
  <c r="Y266" i="3" s="1"/>
  <c r="P267" i="3"/>
  <c r="O267" i="3"/>
  <c r="Y267" i="3" s="1"/>
  <c r="P268" i="3"/>
  <c r="O268" i="3"/>
  <c r="Y268" i="3" s="1"/>
  <c r="P269" i="3"/>
  <c r="O269" i="3"/>
  <c r="Y269" i="3" s="1"/>
  <c r="P270" i="3"/>
  <c r="O270" i="3"/>
  <c r="Y270" i="3" s="1"/>
  <c r="P271" i="3"/>
  <c r="O271" i="3"/>
  <c r="Y271" i="3" s="1"/>
  <c r="P272" i="3"/>
  <c r="O272" i="3"/>
  <c r="Y272" i="3" s="1"/>
  <c r="P273" i="3"/>
  <c r="O273" i="3"/>
  <c r="Y273" i="3" s="1"/>
  <c r="P274" i="3"/>
  <c r="O274" i="3"/>
  <c r="Y274" i="3" s="1"/>
  <c r="P275" i="3"/>
  <c r="O275" i="3"/>
  <c r="Y275" i="3" s="1"/>
  <c r="P276" i="3"/>
  <c r="O276" i="3"/>
  <c r="Y276" i="3" s="1"/>
  <c r="P277" i="3"/>
  <c r="O277" i="3"/>
  <c r="Y277" i="3" s="1"/>
  <c r="O278" i="3"/>
  <c r="Y278" i="3" s="1"/>
  <c r="P278" i="3"/>
  <c r="O279" i="3"/>
  <c r="Y279" i="3" s="1"/>
  <c r="P279" i="3"/>
  <c r="O280" i="3"/>
  <c r="Y280" i="3" s="1"/>
  <c r="P280" i="3"/>
  <c r="O281" i="3"/>
  <c r="Y281" i="3" s="1"/>
  <c r="P281" i="3"/>
  <c r="P282" i="3"/>
  <c r="O282" i="3"/>
  <c r="Y282" i="3" s="1"/>
  <c r="O283" i="3"/>
  <c r="Y283" i="3" s="1"/>
  <c r="P283" i="3"/>
  <c r="P284" i="3"/>
  <c r="O284" i="3"/>
  <c r="Y284" i="3" s="1"/>
  <c r="P285" i="3"/>
  <c r="O285" i="3"/>
  <c r="Y285" i="3" s="1"/>
  <c r="P286" i="3"/>
  <c r="O286" i="3"/>
  <c r="Y286" i="3" s="1"/>
  <c r="P287" i="3"/>
  <c r="O287" i="3"/>
  <c r="Y287" i="3" s="1"/>
  <c r="P288" i="3"/>
  <c r="O288" i="3"/>
  <c r="Y288" i="3" s="1"/>
  <c r="P289" i="3"/>
  <c r="O289" i="3"/>
  <c r="Y289" i="3" s="1"/>
  <c r="P290" i="3"/>
  <c r="O290" i="3"/>
  <c r="Y290" i="3" s="1"/>
  <c r="P291" i="3"/>
  <c r="O291" i="3"/>
  <c r="Y291" i="3" s="1"/>
  <c r="P292" i="3"/>
  <c r="O292" i="3"/>
  <c r="Y292" i="3" s="1"/>
  <c r="P293" i="3"/>
  <c r="O293" i="3"/>
  <c r="Y293" i="3" s="1"/>
  <c r="P294" i="3"/>
  <c r="O294" i="3"/>
  <c r="Y294" i="3" s="1"/>
  <c r="P295" i="3"/>
  <c r="O295" i="3"/>
  <c r="Y295" i="3" s="1"/>
  <c r="P296" i="3"/>
  <c r="O296" i="3"/>
  <c r="Y296" i="3" s="1"/>
  <c r="P297" i="3"/>
  <c r="O297" i="3"/>
  <c r="Y297" i="3" s="1"/>
  <c r="P298" i="3"/>
  <c r="O298" i="3"/>
  <c r="Y298" i="3" s="1"/>
  <c r="P299" i="3"/>
  <c r="O299" i="3"/>
  <c r="Y299" i="3" s="1"/>
  <c r="O300" i="3"/>
  <c r="Y300" i="3" s="1"/>
  <c r="P300" i="3"/>
  <c r="P301" i="3"/>
  <c r="O301" i="3"/>
  <c r="Y301" i="3" s="1"/>
  <c r="P302" i="3"/>
  <c r="O302" i="3"/>
  <c r="Y302" i="3" s="1"/>
  <c r="P303" i="3"/>
  <c r="O303" i="3"/>
  <c r="Y303" i="3" s="1"/>
  <c r="P304" i="3"/>
  <c r="O304" i="3"/>
  <c r="Y304" i="3" s="1"/>
  <c r="P305" i="3"/>
  <c r="O305" i="3"/>
  <c r="Y305" i="3" s="1"/>
  <c r="P306" i="3"/>
  <c r="O306" i="3"/>
  <c r="Y306" i="3" s="1"/>
  <c r="P307" i="3"/>
  <c r="O307" i="3"/>
  <c r="Y307" i="3" s="1"/>
  <c r="P308" i="3"/>
  <c r="O308" i="3"/>
  <c r="Y308" i="3" s="1"/>
  <c r="P309" i="3"/>
  <c r="O309" i="3"/>
  <c r="Y309" i="3" s="1"/>
  <c r="P310" i="3"/>
  <c r="O310" i="3"/>
  <c r="Y310" i="3" s="1"/>
  <c r="P311" i="3"/>
  <c r="O311" i="3"/>
  <c r="Y311" i="3" s="1"/>
  <c r="P312" i="3"/>
  <c r="O312" i="3"/>
  <c r="Y312" i="3" s="1"/>
  <c r="P313" i="3"/>
  <c r="O313" i="3"/>
  <c r="Y313" i="3" s="1"/>
  <c r="P314" i="3"/>
  <c r="O314" i="3"/>
  <c r="Y314" i="3" s="1"/>
  <c r="P315" i="3"/>
  <c r="O315" i="3"/>
  <c r="Y315" i="3" s="1"/>
  <c r="P316" i="3"/>
  <c r="O316" i="3"/>
  <c r="Y316" i="3" s="1"/>
  <c r="P317" i="3"/>
  <c r="O317" i="3"/>
  <c r="Y317" i="3" s="1"/>
  <c r="P318" i="3"/>
  <c r="O318" i="3"/>
  <c r="Y318" i="3" s="1"/>
  <c r="P319" i="3"/>
  <c r="O319" i="3"/>
  <c r="Y319" i="3" s="1"/>
  <c r="P320" i="3"/>
  <c r="O320" i="3"/>
  <c r="Y320" i="3" s="1"/>
  <c r="P321" i="3"/>
  <c r="O321" i="3"/>
  <c r="Y321" i="3" s="1"/>
  <c r="P322" i="3"/>
  <c r="O322" i="3"/>
  <c r="Y322" i="3" s="1"/>
  <c r="P323" i="3"/>
  <c r="O323" i="3"/>
  <c r="Y323" i="3" s="1"/>
  <c r="O324" i="3"/>
  <c r="Y324" i="3" s="1"/>
  <c r="P324" i="3"/>
  <c r="O325" i="3"/>
  <c r="Y325" i="3" s="1"/>
  <c r="P325" i="3"/>
  <c r="O326" i="3"/>
  <c r="Y326" i="3" s="1"/>
  <c r="P326" i="3"/>
  <c r="O327" i="3"/>
  <c r="Y327" i="3" s="1"/>
  <c r="P327" i="3"/>
  <c r="O328" i="3"/>
  <c r="Y328" i="3" s="1"/>
  <c r="P328" i="3"/>
  <c r="O329" i="3"/>
  <c r="Y329" i="3" s="1"/>
  <c r="P329" i="3"/>
  <c r="O330" i="3"/>
  <c r="Y330" i="3" s="1"/>
  <c r="P330" i="3"/>
  <c r="P331" i="3"/>
  <c r="O331" i="3"/>
  <c r="Y331" i="3" s="1"/>
  <c r="P332" i="3"/>
  <c r="O332" i="3"/>
  <c r="Y332" i="3" s="1"/>
  <c r="P333" i="3"/>
  <c r="O333" i="3"/>
  <c r="Y333" i="3" s="1"/>
  <c r="O334" i="3"/>
  <c r="Y334" i="3" s="1"/>
  <c r="P334" i="3"/>
  <c r="O335" i="3"/>
  <c r="Y335" i="3" s="1"/>
  <c r="P335" i="3"/>
  <c r="O336" i="3"/>
  <c r="Y336" i="3" s="1"/>
  <c r="P336" i="3"/>
  <c r="O337" i="3"/>
  <c r="Y337" i="3" s="1"/>
  <c r="P337" i="3"/>
  <c r="O338" i="3"/>
  <c r="Y338" i="3" s="1"/>
  <c r="P338" i="3"/>
  <c r="O339" i="3"/>
  <c r="Y339" i="3" s="1"/>
  <c r="P339" i="3"/>
  <c r="O340" i="3"/>
  <c r="Y340" i="3" s="1"/>
  <c r="P340" i="3"/>
  <c r="P341" i="3"/>
  <c r="O341" i="3"/>
  <c r="Y341" i="3" s="1"/>
  <c r="P342" i="3"/>
  <c r="O342" i="3"/>
  <c r="Y342" i="3" s="1"/>
  <c r="P343" i="3"/>
  <c r="O343" i="3"/>
  <c r="Y343" i="3" s="1"/>
  <c r="O344" i="3"/>
  <c r="Y344" i="3" s="1"/>
  <c r="P344" i="3"/>
  <c r="O345" i="3"/>
  <c r="Y345" i="3" s="1"/>
  <c r="P345" i="3"/>
  <c r="P346" i="3"/>
  <c r="O346" i="3"/>
  <c r="Y346" i="3" s="1"/>
  <c r="P347" i="3"/>
  <c r="O347" i="3"/>
  <c r="Y347" i="3" s="1"/>
  <c r="P348" i="3"/>
  <c r="O348" i="3"/>
  <c r="Y348" i="3" s="1"/>
  <c r="P349" i="3"/>
  <c r="O349" i="3"/>
  <c r="Y349" i="3" s="1"/>
  <c r="P350" i="3"/>
  <c r="O350" i="3"/>
  <c r="Y350" i="3" s="1"/>
  <c r="P351" i="3"/>
  <c r="O351" i="3"/>
  <c r="Y351" i="3" s="1"/>
  <c r="P352" i="3"/>
  <c r="O352" i="3"/>
  <c r="Y352" i="3" s="1"/>
  <c r="P353" i="3"/>
  <c r="O353" i="3"/>
  <c r="Y353" i="3" s="1"/>
  <c r="P354" i="3"/>
  <c r="O354" i="3"/>
  <c r="Y354" i="3" s="1"/>
  <c r="O355" i="3"/>
  <c r="Y355" i="3" s="1"/>
  <c r="P355" i="3"/>
  <c r="P356" i="3"/>
  <c r="O356" i="3"/>
  <c r="Y356" i="3" s="1"/>
  <c r="P357" i="3"/>
  <c r="O357" i="3"/>
  <c r="Y357" i="3" s="1"/>
  <c r="O358" i="3"/>
  <c r="Y358" i="3" s="1"/>
  <c r="P358" i="3"/>
  <c r="O359" i="3"/>
  <c r="Y359" i="3" s="1"/>
  <c r="P359" i="3"/>
  <c r="O360" i="3"/>
  <c r="Y360" i="3" s="1"/>
  <c r="P360" i="3"/>
  <c r="O361" i="3"/>
  <c r="Y361" i="3" s="1"/>
  <c r="P361" i="3"/>
  <c r="O362" i="3"/>
  <c r="Y362" i="3" s="1"/>
  <c r="P362" i="3"/>
  <c r="O363" i="3"/>
  <c r="Y363" i="3" s="1"/>
  <c r="P363" i="3"/>
  <c r="O364" i="3"/>
  <c r="Y364" i="3" s="1"/>
  <c r="P364" i="3"/>
  <c r="O365" i="3"/>
  <c r="Y365" i="3" s="1"/>
  <c r="P365" i="3"/>
  <c r="O366" i="3"/>
  <c r="Y366" i="3" s="1"/>
  <c r="P366" i="3"/>
  <c r="O367" i="3"/>
  <c r="Y367" i="3" s="1"/>
  <c r="P367" i="3"/>
  <c r="P368" i="3"/>
  <c r="O368" i="3"/>
  <c r="Y368" i="3" s="1"/>
  <c r="O369" i="3"/>
  <c r="Y369" i="3" s="1"/>
  <c r="P369" i="3"/>
  <c r="O370" i="3"/>
  <c r="Y370" i="3" s="1"/>
  <c r="P370" i="3"/>
  <c r="O371" i="3"/>
  <c r="Y371" i="3" s="1"/>
  <c r="P371" i="3"/>
  <c r="P372" i="3"/>
  <c r="O372" i="3"/>
  <c r="Y372" i="3" s="1"/>
  <c r="P373" i="3"/>
  <c r="O373" i="3"/>
  <c r="Y373" i="3" s="1"/>
  <c r="P374" i="3"/>
  <c r="O374" i="3"/>
  <c r="Y374" i="3" s="1"/>
  <c r="P375" i="3"/>
  <c r="O375" i="3"/>
  <c r="Y375" i="3" s="1"/>
  <c r="P376" i="3"/>
  <c r="O376" i="3"/>
  <c r="Y376" i="3" s="1"/>
  <c r="P377" i="3"/>
  <c r="O377" i="3"/>
  <c r="Y377" i="3" s="1"/>
  <c r="P378" i="3"/>
  <c r="O378" i="3"/>
  <c r="Y378" i="3" s="1"/>
  <c r="O379" i="3"/>
  <c r="Y379" i="3" s="1"/>
  <c r="P379" i="3"/>
  <c r="O380" i="3"/>
  <c r="Y380" i="3" s="1"/>
  <c r="P380" i="3"/>
  <c r="P381" i="3"/>
  <c r="O381" i="3"/>
  <c r="Y381" i="3" s="1"/>
  <c r="P382" i="3"/>
  <c r="O382" i="3"/>
  <c r="Y382" i="3" s="1"/>
  <c r="O383" i="3"/>
  <c r="Y383" i="3" s="1"/>
  <c r="P383" i="3"/>
  <c r="P384" i="3"/>
  <c r="O384" i="3"/>
  <c r="Y384" i="3" s="1"/>
  <c r="O385" i="3"/>
  <c r="Y385" i="3" s="1"/>
  <c r="P385" i="3"/>
  <c r="O386" i="3"/>
  <c r="Y386" i="3" s="1"/>
  <c r="P386" i="3"/>
  <c r="P387" i="3"/>
  <c r="O387" i="3"/>
  <c r="Y387" i="3" s="1"/>
  <c r="O388" i="3"/>
  <c r="Y388" i="3" s="1"/>
  <c r="P388" i="3"/>
  <c r="P389" i="3"/>
  <c r="O389" i="3"/>
  <c r="Y389" i="3" s="1"/>
  <c r="O390" i="3"/>
  <c r="Y390" i="3" s="1"/>
  <c r="P390" i="3"/>
  <c r="O391" i="3"/>
  <c r="Y391" i="3" s="1"/>
  <c r="P391" i="3"/>
  <c r="P392" i="3"/>
  <c r="O392" i="3"/>
  <c r="Y392" i="3" s="1"/>
  <c r="P393" i="3"/>
  <c r="O393" i="3"/>
  <c r="Y393" i="3" s="1"/>
  <c r="O394" i="3"/>
  <c r="Y394" i="3" s="1"/>
  <c r="P394" i="3"/>
  <c r="P395" i="3"/>
  <c r="O395" i="3"/>
  <c r="Y395" i="3" s="1"/>
  <c r="O396" i="3"/>
  <c r="Y396" i="3" s="1"/>
  <c r="P396" i="3"/>
  <c r="O397" i="3"/>
  <c r="Y397" i="3" s="1"/>
  <c r="P397" i="3"/>
  <c r="P398" i="3"/>
  <c r="O398" i="3"/>
  <c r="Y398" i="3" s="1"/>
  <c r="O399" i="3"/>
  <c r="Y399" i="3" s="1"/>
  <c r="P399" i="3"/>
  <c r="P400" i="3"/>
  <c r="O400" i="3"/>
  <c r="Y400" i="3" s="1"/>
  <c r="O401" i="3"/>
  <c r="Y401" i="3" s="1"/>
  <c r="P401" i="3"/>
  <c r="P402" i="3"/>
  <c r="O402" i="3"/>
  <c r="Y402" i="3" s="1"/>
  <c r="O403" i="3"/>
  <c r="Y403" i="3" s="1"/>
  <c r="P403" i="3"/>
  <c r="P404" i="3"/>
  <c r="O404" i="3"/>
  <c r="Y404" i="3" s="1"/>
  <c r="P405" i="3"/>
  <c r="O405" i="3"/>
  <c r="Y405" i="3" s="1"/>
  <c r="O406" i="3"/>
  <c r="Y406" i="3" s="1"/>
  <c r="P406" i="3"/>
  <c r="O407" i="3"/>
  <c r="Y407" i="3" s="1"/>
  <c r="P407" i="3"/>
  <c r="O408" i="3"/>
  <c r="Y408" i="3" s="1"/>
  <c r="P408" i="3"/>
  <c r="P409" i="3"/>
  <c r="O409" i="3"/>
  <c r="Y409" i="3" s="1"/>
  <c r="P410" i="3"/>
  <c r="O410" i="3"/>
  <c r="Y410" i="3" s="1"/>
  <c r="P411" i="3"/>
  <c r="O411" i="3"/>
  <c r="Y411" i="3" s="1"/>
  <c r="O412" i="3"/>
  <c r="Y412" i="3" s="1"/>
  <c r="P412" i="3"/>
  <c r="O413" i="3"/>
  <c r="Y413" i="3" s="1"/>
  <c r="P413" i="3"/>
  <c r="O414" i="3"/>
  <c r="Y414" i="3" s="1"/>
  <c r="P414" i="3"/>
  <c r="O415" i="3"/>
  <c r="Y415" i="3" s="1"/>
  <c r="P415" i="3"/>
  <c r="O416" i="3"/>
  <c r="Y416" i="3" s="1"/>
  <c r="P416" i="3"/>
  <c r="P417" i="3"/>
  <c r="O417" i="3"/>
  <c r="Y417" i="3" s="1"/>
  <c r="O418" i="3"/>
  <c r="Y418" i="3" s="1"/>
  <c r="P418" i="3"/>
  <c r="P419" i="3"/>
  <c r="O419" i="3"/>
  <c r="Y419" i="3" s="1"/>
  <c r="O420" i="3"/>
  <c r="Y420" i="3" s="1"/>
  <c r="P420" i="3"/>
  <c r="O421" i="3"/>
  <c r="Y421" i="3" s="1"/>
  <c r="P421" i="3"/>
  <c r="P422" i="3"/>
  <c r="O422" i="3"/>
  <c r="Y422" i="3" s="1"/>
  <c r="P423" i="3"/>
  <c r="O423" i="3"/>
  <c r="Y423" i="3" s="1"/>
  <c r="O424" i="3"/>
  <c r="Y424" i="3" s="1"/>
  <c r="P424" i="3"/>
  <c r="P425" i="3"/>
  <c r="O425" i="3"/>
  <c r="Y425" i="3" s="1"/>
  <c r="O426" i="3"/>
  <c r="Y426" i="3" s="1"/>
  <c r="P426" i="3"/>
  <c r="O427" i="3"/>
  <c r="Y427" i="3" s="1"/>
  <c r="P427" i="3"/>
  <c r="O428" i="3"/>
  <c r="Y428" i="3" s="1"/>
  <c r="P428" i="3"/>
  <c r="O429" i="3"/>
  <c r="Y429" i="3" s="1"/>
  <c r="P429" i="3"/>
  <c r="P430" i="3"/>
  <c r="O430" i="3"/>
  <c r="Y430" i="3" s="1"/>
  <c r="O431" i="3"/>
  <c r="Y431" i="3" s="1"/>
  <c r="P431" i="3"/>
  <c r="P432" i="3"/>
  <c r="O432" i="3"/>
  <c r="Y432" i="3" s="1"/>
  <c r="P433" i="3"/>
  <c r="O433" i="3"/>
  <c r="Y433" i="3" s="1"/>
  <c r="P434" i="3"/>
  <c r="O434" i="3"/>
  <c r="Y434" i="3" s="1"/>
  <c r="O435" i="3"/>
  <c r="Y435" i="3" s="1"/>
  <c r="P435" i="3"/>
  <c r="P436" i="3"/>
  <c r="O436" i="3"/>
  <c r="Y436" i="3" s="1"/>
  <c r="O437" i="3"/>
  <c r="Y437" i="3" s="1"/>
  <c r="P437" i="3"/>
  <c r="P438" i="3"/>
  <c r="O438" i="3"/>
  <c r="Y438" i="3" s="1"/>
  <c r="O439" i="3"/>
  <c r="Y439" i="3" s="1"/>
  <c r="P439" i="3"/>
  <c r="P440" i="3"/>
  <c r="O440" i="3"/>
  <c r="Y440" i="3" s="1"/>
  <c r="P441" i="3"/>
  <c r="O441" i="3"/>
  <c r="Y441" i="3" s="1"/>
  <c r="P442" i="3"/>
  <c r="O442" i="3"/>
  <c r="Y442" i="3" s="1"/>
  <c r="O443" i="3"/>
  <c r="Y443" i="3" s="1"/>
  <c r="P443" i="3"/>
  <c r="P444" i="3"/>
  <c r="O444" i="3"/>
  <c r="Y444" i="3" s="1"/>
  <c r="P445" i="3"/>
  <c r="O445" i="3"/>
  <c r="Y445" i="3" s="1"/>
  <c r="P446" i="3"/>
  <c r="O446" i="3"/>
  <c r="Y446" i="3" s="1"/>
  <c r="P447" i="3"/>
  <c r="O447" i="3"/>
  <c r="Y447" i="3" s="1"/>
  <c r="P448" i="3"/>
  <c r="O448" i="3"/>
  <c r="Y448" i="3" s="1"/>
  <c r="P449" i="3"/>
  <c r="O449" i="3"/>
  <c r="Y449" i="3" s="1"/>
  <c r="P450" i="3"/>
  <c r="O450" i="3"/>
  <c r="Y450" i="3" s="1"/>
  <c r="P451" i="3"/>
  <c r="O451" i="3"/>
  <c r="Y451" i="3" s="1"/>
  <c r="O452" i="3"/>
  <c r="Y452" i="3" s="1"/>
  <c r="P452" i="3"/>
  <c r="P453" i="3"/>
  <c r="O453" i="3"/>
  <c r="Y453" i="3" s="1"/>
  <c r="P454" i="3"/>
  <c r="O454" i="3"/>
  <c r="Y454" i="3" s="1"/>
  <c r="P455" i="3"/>
  <c r="O455" i="3"/>
  <c r="Y455" i="3" s="1"/>
  <c r="P456" i="3"/>
  <c r="O456" i="3"/>
  <c r="Y456" i="3" s="1"/>
  <c r="O457" i="3"/>
  <c r="Y457" i="3" s="1"/>
  <c r="P457" i="3"/>
  <c r="P458" i="3"/>
  <c r="O458" i="3"/>
  <c r="Y458" i="3" s="1"/>
  <c r="P459" i="3"/>
  <c r="O459" i="3"/>
  <c r="Y459" i="3" s="1"/>
  <c r="P460" i="3"/>
  <c r="O460" i="3"/>
  <c r="Y460" i="3" s="1"/>
  <c r="O461" i="3"/>
  <c r="Y461" i="3" s="1"/>
  <c r="P461" i="3"/>
  <c r="O462" i="3"/>
  <c r="Y462" i="3" s="1"/>
  <c r="P462" i="3"/>
  <c r="O463" i="3"/>
  <c r="Y463" i="3" s="1"/>
  <c r="P463" i="3"/>
  <c r="O464" i="3"/>
  <c r="Y464" i="3" s="1"/>
  <c r="P464" i="3"/>
  <c r="O465" i="3"/>
  <c r="Y465" i="3" s="1"/>
  <c r="P465" i="3"/>
  <c r="O466" i="3"/>
  <c r="Y466" i="3" s="1"/>
  <c r="P466" i="3"/>
  <c r="O467" i="3"/>
  <c r="Y467" i="3" s="1"/>
  <c r="P467" i="3"/>
  <c r="P468" i="3"/>
  <c r="O468" i="3"/>
  <c r="Y468" i="3" s="1"/>
  <c r="P469" i="3"/>
  <c r="O469" i="3"/>
  <c r="Y469" i="3" s="1"/>
  <c r="O470" i="3"/>
  <c r="Y470" i="3" s="1"/>
  <c r="P470" i="3"/>
  <c r="O471" i="3"/>
  <c r="Y471" i="3" s="1"/>
  <c r="P471" i="3"/>
  <c r="O472" i="3"/>
  <c r="Y472" i="3" s="1"/>
  <c r="P472" i="3"/>
  <c r="P473" i="3"/>
  <c r="O473" i="3"/>
  <c r="Y473" i="3" s="1"/>
  <c r="P474" i="3"/>
  <c r="O474" i="3"/>
  <c r="Y474" i="3" s="1"/>
  <c r="O475" i="3"/>
  <c r="Y475" i="3" s="1"/>
  <c r="P475" i="3"/>
  <c r="O476" i="3"/>
  <c r="Y476" i="3" s="1"/>
  <c r="P476" i="3"/>
  <c r="O477" i="3"/>
  <c r="Y477" i="3" s="1"/>
  <c r="P477" i="3"/>
  <c r="O478" i="3"/>
  <c r="Y478" i="3" s="1"/>
  <c r="P478" i="3"/>
  <c r="O479" i="3"/>
  <c r="Y479" i="3" s="1"/>
  <c r="P479" i="3"/>
  <c r="O480" i="3"/>
  <c r="Y480" i="3" s="1"/>
  <c r="P480" i="3"/>
  <c r="O481" i="3"/>
  <c r="Y481" i="3" s="1"/>
  <c r="P481" i="3"/>
  <c r="O482" i="3"/>
  <c r="Y482" i="3" s="1"/>
  <c r="P482" i="3"/>
  <c r="P483" i="3"/>
  <c r="O483" i="3"/>
  <c r="Y483" i="3" s="1"/>
  <c r="O484" i="3"/>
  <c r="Y484" i="3" s="1"/>
  <c r="P484" i="3"/>
  <c r="P485" i="3"/>
  <c r="O485" i="3"/>
  <c r="Y485" i="3" s="1"/>
  <c r="P486" i="3"/>
  <c r="O486" i="3"/>
  <c r="Y486" i="3" s="1"/>
  <c r="P487" i="3"/>
  <c r="O487" i="3"/>
  <c r="Y487" i="3" s="1"/>
  <c r="P488" i="3"/>
  <c r="O488" i="3"/>
  <c r="Y488" i="3" s="1"/>
  <c r="O489" i="3"/>
  <c r="Y489" i="3" s="1"/>
  <c r="P489" i="3"/>
  <c r="P490" i="3"/>
  <c r="O490" i="3"/>
  <c r="Y490" i="3" s="1"/>
  <c r="O491" i="3"/>
  <c r="Y491" i="3" s="1"/>
  <c r="P491" i="3"/>
  <c r="O492" i="3"/>
  <c r="Y492" i="3" s="1"/>
  <c r="P492" i="3"/>
  <c r="O493" i="3"/>
  <c r="Y493" i="3" s="1"/>
  <c r="P493" i="3"/>
  <c r="O494" i="3"/>
  <c r="Y494" i="3" s="1"/>
  <c r="P494" i="3"/>
  <c r="O495" i="3"/>
  <c r="Y495" i="3" s="1"/>
  <c r="P495" i="3"/>
  <c r="P496" i="3"/>
  <c r="O496" i="3"/>
  <c r="Y496" i="3" s="1"/>
  <c r="O497" i="3"/>
  <c r="Y497" i="3" s="1"/>
  <c r="P497" i="3"/>
  <c r="O498" i="3"/>
  <c r="Y498" i="3" s="1"/>
  <c r="P498" i="3"/>
  <c r="O2" i="3"/>
  <c r="Y2" i="3" s="1"/>
  <c r="P2" i="3"/>
</calcChain>
</file>

<file path=xl/sharedStrings.xml><?xml version="1.0" encoding="utf-8"?>
<sst xmlns="http://schemas.openxmlformats.org/spreadsheetml/2006/main" count="4642" uniqueCount="1102">
  <si>
    <t>product_id</t>
  </si>
  <si>
    <t>product_name</t>
  </si>
  <si>
    <t>category</t>
  </si>
  <si>
    <t>launch_date</t>
  </si>
  <si>
    <t>days_since_launch</t>
  </si>
  <si>
    <t>maturity_status</t>
  </si>
  <si>
    <t>selling_price</t>
  </si>
  <si>
    <t>unit_cost</t>
  </si>
  <si>
    <t>total_orders</t>
  </si>
  <si>
    <t>total_units_sold</t>
  </si>
  <si>
    <t>gross_sales</t>
  </si>
  <si>
    <t>discount_amount</t>
  </si>
  <si>
    <t>net_sales</t>
  </si>
  <si>
    <t>total_cost</t>
  </si>
  <si>
    <t>gross_profit</t>
  </si>
  <si>
    <t>effective_margin_pct</t>
  </si>
  <si>
    <t>returned_orders</t>
  </si>
  <si>
    <t>total_refund_amount</t>
  </si>
  <si>
    <t>return_rate_pct</t>
  </si>
  <si>
    <t>total_reviews</t>
  </si>
  <si>
    <t>avg_rating</t>
  </si>
  <si>
    <t>campaign_spend</t>
  </si>
  <si>
    <t>attributed_revenue</t>
  </si>
  <si>
    <t>roas</t>
  </si>
  <si>
    <t>product_archetype</t>
  </si>
  <si>
    <t>PRD-001</t>
  </si>
  <si>
    <t>Nexora AirBeats Pro</t>
  </si>
  <si>
    <t>Wireless Audio</t>
  </si>
  <si>
    <t>Mature</t>
  </si>
  <si>
    <t>Star</t>
  </si>
  <si>
    <t>PRD-002</t>
  </si>
  <si>
    <t>Nexora PowerBank 20K</t>
  </si>
  <si>
    <t>Mobile Accessories</t>
  </si>
  <si>
    <t>Revenue Trap</t>
  </si>
  <si>
    <t>PRD-003</t>
  </si>
  <si>
    <t>Nexora SmartTracker Tag</t>
  </si>
  <si>
    <t>Smart Accessories</t>
  </si>
  <si>
    <t>PRD-004</t>
  </si>
  <si>
    <t>Nexora CableKit Pro</t>
  </si>
  <si>
    <t>Weak Product</t>
  </si>
  <si>
    <t>PRD-005</t>
  </si>
  <si>
    <t>Nexora SoundBar Mini</t>
  </si>
  <si>
    <t>Smart Home</t>
  </si>
  <si>
    <t>Immature</t>
  </si>
  <si>
    <t>Immature Product</t>
  </si>
  <si>
    <t>PRD-006</t>
  </si>
  <si>
    <t>Nexora Wireless 006</t>
  </si>
  <si>
    <t>PRD-007</t>
  </si>
  <si>
    <t>Nexora Wireless 007</t>
  </si>
  <si>
    <t>PRD-008</t>
  </si>
  <si>
    <t>Nexora Wireless 008</t>
  </si>
  <si>
    <t>PRD-009</t>
  </si>
  <si>
    <t>Nexora Wireless 009</t>
  </si>
  <si>
    <t>PRD-010</t>
  </si>
  <si>
    <t>Nexora Wireless 010</t>
  </si>
  <si>
    <t>PRD-011</t>
  </si>
  <si>
    <t>Nexora Wireless 011</t>
  </si>
  <si>
    <t>PRD-012</t>
  </si>
  <si>
    <t>Nexora Wireless 012</t>
  </si>
  <si>
    <t>PRD-013</t>
  </si>
  <si>
    <t>Nexora Wireless 013</t>
  </si>
  <si>
    <t>Hidden Opportunity</t>
  </si>
  <si>
    <t>PRD-014</t>
  </si>
  <si>
    <t>Nexora Wireless 014</t>
  </si>
  <si>
    <t>PRD-015</t>
  </si>
  <si>
    <t>Nexora Wireless 015</t>
  </si>
  <si>
    <t>PRD-016</t>
  </si>
  <si>
    <t>Nexora Wireless 016</t>
  </si>
  <si>
    <t>PRD-017</t>
  </si>
  <si>
    <t>Nexora Wireless 017</t>
  </si>
  <si>
    <t>PRD-018</t>
  </si>
  <si>
    <t>Nexora Wireless 018</t>
  </si>
  <si>
    <t>PRD-019</t>
  </si>
  <si>
    <t>Nexora Wireless 019</t>
  </si>
  <si>
    <t>PRD-020</t>
  </si>
  <si>
    <t>Nexora Wireless 020</t>
  </si>
  <si>
    <t>PRD-021</t>
  </si>
  <si>
    <t>Nexora Wireless 021</t>
  </si>
  <si>
    <t>PRD-022</t>
  </si>
  <si>
    <t>Nexora Wireless 022</t>
  </si>
  <si>
    <t>PRD-023</t>
  </si>
  <si>
    <t>Nexora Wireless 023</t>
  </si>
  <si>
    <t>PRD-024</t>
  </si>
  <si>
    <t>Nexora Wireless 024</t>
  </si>
  <si>
    <t>PRD-025</t>
  </si>
  <si>
    <t>Nexora Wireless 025</t>
  </si>
  <si>
    <t>PRD-026</t>
  </si>
  <si>
    <t>Nexora Wireless 026</t>
  </si>
  <si>
    <t>PRD-027</t>
  </si>
  <si>
    <t>Nexora Wireless 027</t>
  </si>
  <si>
    <t>PRD-028</t>
  </si>
  <si>
    <t>Nexora Wireless 028</t>
  </si>
  <si>
    <t>PRD-029</t>
  </si>
  <si>
    <t>Nexora Wireless 029</t>
  </si>
  <si>
    <t>PRD-030</t>
  </si>
  <si>
    <t>Nexora Wireless 030</t>
  </si>
  <si>
    <t>PRD-031</t>
  </si>
  <si>
    <t>Nexora Wireless 031</t>
  </si>
  <si>
    <t>PRD-032</t>
  </si>
  <si>
    <t>Nexora Wireless 032</t>
  </si>
  <si>
    <t>PRD-033</t>
  </si>
  <si>
    <t>Nexora Wireless 033</t>
  </si>
  <si>
    <t>PRD-034</t>
  </si>
  <si>
    <t>Nexora Wireless 034</t>
  </si>
  <si>
    <t>PRD-035</t>
  </si>
  <si>
    <t>Nexora Wireless 035</t>
  </si>
  <si>
    <t>PRD-036</t>
  </si>
  <si>
    <t>Nexora Wireless 036</t>
  </si>
  <si>
    <t>PRD-037</t>
  </si>
  <si>
    <t>Nexora Wireless 037</t>
  </si>
  <si>
    <t>PRD-038</t>
  </si>
  <si>
    <t>Nexora Wireless 038</t>
  </si>
  <si>
    <t>PRD-039</t>
  </si>
  <si>
    <t>Nexora Wireless 039</t>
  </si>
  <si>
    <t>PRD-040</t>
  </si>
  <si>
    <t>Nexora Wireless 040</t>
  </si>
  <si>
    <t>PRD-041</t>
  </si>
  <si>
    <t>Nexora Wireless 041</t>
  </si>
  <si>
    <t>PRD-042</t>
  </si>
  <si>
    <t>Nexora Wireless 042</t>
  </si>
  <si>
    <t>PRD-043</t>
  </si>
  <si>
    <t>Nexora Wireless 043</t>
  </si>
  <si>
    <t>PRD-044</t>
  </si>
  <si>
    <t>Nexora Wireless 044</t>
  </si>
  <si>
    <t>PRD-045</t>
  </si>
  <si>
    <t>Nexora Wireless 045</t>
  </si>
  <si>
    <t>PRD-046</t>
  </si>
  <si>
    <t>Nexora Wireless 046</t>
  </si>
  <si>
    <t>PRD-047</t>
  </si>
  <si>
    <t>Nexora Wireless 047</t>
  </si>
  <si>
    <t>PRD-048</t>
  </si>
  <si>
    <t>Nexora Wireless 048</t>
  </si>
  <si>
    <t>PRD-049</t>
  </si>
  <si>
    <t>Nexora Wireless 049</t>
  </si>
  <si>
    <t>PRD-050</t>
  </si>
  <si>
    <t>Nexora Wireless 050</t>
  </si>
  <si>
    <t>PRD-051</t>
  </si>
  <si>
    <t>Nexora Wireless 051</t>
  </si>
  <si>
    <t>PRD-052</t>
  </si>
  <si>
    <t>Nexora Wireless 052</t>
  </si>
  <si>
    <t>PRD-053</t>
  </si>
  <si>
    <t>Nexora Wireless 053</t>
  </si>
  <si>
    <t>PRD-054</t>
  </si>
  <si>
    <t>Nexora Wireless 054</t>
  </si>
  <si>
    <t>PRD-055</t>
  </si>
  <si>
    <t>Nexora Wireless 055</t>
  </si>
  <si>
    <t>PRD-056</t>
  </si>
  <si>
    <t>Nexora Wireless 056</t>
  </si>
  <si>
    <t>PRD-057</t>
  </si>
  <si>
    <t>Nexora Wireless 057</t>
  </si>
  <si>
    <t>PRD-058</t>
  </si>
  <si>
    <t>Nexora Wireless 058</t>
  </si>
  <si>
    <t>PRD-059</t>
  </si>
  <si>
    <t>Nexora Wireless 059</t>
  </si>
  <si>
    <t>PRD-060</t>
  </si>
  <si>
    <t>Nexora Wireless 060</t>
  </si>
  <si>
    <t>PRD-061</t>
  </si>
  <si>
    <t>Nexora Wireless 061</t>
  </si>
  <si>
    <t>PRD-062</t>
  </si>
  <si>
    <t>Nexora Wireless 062</t>
  </si>
  <si>
    <t>PRD-063</t>
  </si>
  <si>
    <t>Nexora Wireless 063</t>
  </si>
  <si>
    <t>PRD-064</t>
  </si>
  <si>
    <t>Nexora Wireless 064</t>
  </si>
  <si>
    <t>PRD-065</t>
  </si>
  <si>
    <t>Nexora Wireless 065</t>
  </si>
  <si>
    <t>PRD-066</t>
  </si>
  <si>
    <t>Nexora Wireless 066</t>
  </si>
  <si>
    <t>PRD-067</t>
  </si>
  <si>
    <t>Nexora Wireless 067</t>
  </si>
  <si>
    <t>PRD-068</t>
  </si>
  <si>
    <t>Nexora Wireless 068</t>
  </si>
  <si>
    <t>PRD-069</t>
  </si>
  <si>
    <t>Nexora Wireless 069</t>
  </si>
  <si>
    <t>PRD-070</t>
  </si>
  <si>
    <t>Nexora Wireless 070</t>
  </si>
  <si>
    <t>PRD-071</t>
  </si>
  <si>
    <t>Nexora Wireless 071</t>
  </si>
  <si>
    <t>PRD-072</t>
  </si>
  <si>
    <t>Nexora Wireless 072</t>
  </si>
  <si>
    <t>PRD-073</t>
  </si>
  <si>
    <t>Nexora Wireless 073</t>
  </si>
  <si>
    <t>PRD-074</t>
  </si>
  <si>
    <t>Nexora Wireless 074</t>
  </si>
  <si>
    <t>PRD-075</t>
  </si>
  <si>
    <t>Nexora Smart 075</t>
  </si>
  <si>
    <t>PRD-076</t>
  </si>
  <si>
    <t>Nexora Smart 076</t>
  </si>
  <si>
    <t>PRD-077</t>
  </si>
  <si>
    <t>Nexora Smart 077</t>
  </si>
  <si>
    <t>PRD-078</t>
  </si>
  <si>
    <t>Nexora Smart 078</t>
  </si>
  <si>
    <t>PRD-079</t>
  </si>
  <si>
    <t>Nexora Smart 079</t>
  </si>
  <si>
    <t>PRD-080</t>
  </si>
  <si>
    <t>Nexora Smart 080</t>
  </si>
  <si>
    <t>PRD-081</t>
  </si>
  <si>
    <t>Nexora Smart 081</t>
  </si>
  <si>
    <t>PRD-082</t>
  </si>
  <si>
    <t>Nexora Smart 082</t>
  </si>
  <si>
    <t>PRD-083</t>
  </si>
  <si>
    <t>Nexora Smart 083</t>
  </si>
  <si>
    <t>PRD-084</t>
  </si>
  <si>
    <t>Nexora Smart 084</t>
  </si>
  <si>
    <t>PRD-085</t>
  </si>
  <si>
    <t>Nexora Smart 085</t>
  </si>
  <si>
    <t>PRD-086</t>
  </si>
  <si>
    <t>Nexora Smart 086</t>
  </si>
  <si>
    <t>PRD-087</t>
  </si>
  <si>
    <t>Nexora Smart 087</t>
  </si>
  <si>
    <t>PRD-088</t>
  </si>
  <si>
    <t>Nexora Smart 088</t>
  </si>
  <si>
    <t>PRD-089</t>
  </si>
  <si>
    <t>Nexora Smart 089</t>
  </si>
  <si>
    <t>PRD-090</t>
  </si>
  <si>
    <t>Nexora Smart 090</t>
  </si>
  <si>
    <t>PRD-091</t>
  </si>
  <si>
    <t>Nexora Smart 091</t>
  </si>
  <si>
    <t>PRD-092</t>
  </si>
  <si>
    <t>Nexora Smart 092</t>
  </si>
  <si>
    <t>PRD-093</t>
  </si>
  <si>
    <t>Nexora Smart 093</t>
  </si>
  <si>
    <t>PRD-094</t>
  </si>
  <si>
    <t>Nexora Smart 094</t>
  </si>
  <si>
    <t>PRD-095</t>
  </si>
  <si>
    <t>Nexora Smart 095</t>
  </si>
  <si>
    <t>PRD-096</t>
  </si>
  <si>
    <t>Nexora Smart 096</t>
  </si>
  <si>
    <t>PRD-097</t>
  </si>
  <si>
    <t>Nexora Smart 097</t>
  </si>
  <si>
    <t>PRD-098</t>
  </si>
  <si>
    <t>Nexora Smart 098</t>
  </si>
  <si>
    <t>PRD-099</t>
  </si>
  <si>
    <t>Nexora Smart 099</t>
  </si>
  <si>
    <t>PRD-100</t>
  </si>
  <si>
    <t>Nexora Smart 100</t>
  </si>
  <si>
    <t>PRD-101</t>
  </si>
  <si>
    <t>Nexora Smart 101</t>
  </si>
  <si>
    <t>PRD-102</t>
  </si>
  <si>
    <t>Nexora Smart 102</t>
  </si>
  <si>
    <t>PRD-103</t>
  </si>
  <si>
    <t>Nexora Smart 103</t>
  </si>
  <si>
    <t>PRD-104</t>
  </si>
  <si>
    <t>Nexora Smart 104</t>
  </si>
  <si>
    <t>PRD-105</t>
  </si>
  <si>
    <t>Nexora Smart 105</t>
  </si>
  <si>
    <t>PRD-106</t>
  </si>
  <si>
    <t>Nexora Smart 106</t>
  </si>
  <si>
    <t>PRD-107</t>
  </si>
  <si>
    <t>Nexora Smart 107</t>
  </si>
  <si>
    <t>PRD-108</t>
  </si>
  <si>
    <t>Nexora Smart 108</t>
  </si>
  <si>
    <t>PRD-109</t>
  </si>
  <si>
    <t>Nexora Smart 109</t>
  </si>
  <si>
    <t>PRD-110</t>
  </si>
  <si>
    <t>Nexora Smart 110</t>
  </si>
  <si>
    <t>PRD-111</t>
  </si>
  <si>
    <t>Nexora Smart 111</t>
  </si>
  <si>
    <t>PRD-112</t>
  </si>
  <si>
    <t>Nexora Smart 112</t>
  </si>
  <si>
    <t>PRD-113</t>
  </si>
  <si>
    <t>Nexora Smart 113</t>
  </si>
  <si>
    <t>PRD-114</t>
  </si>
  <si>
    <t>Nexora Smart 114</t>
  </si>
  <si>
    <t>PRD-115</t>
  </si>
  <si>
    <t>Nexora Smart 115</t>
  </si>
  <si>
    <t>PRD-116</t>
  </si>
  <si>
    <t>Nexora Smart 116</t>
  </si>
  <si>
    <t>PRD-117</t>
  </si>
  <si>
    <t>Nexora Smart 117</t>
  </si>
  <si>
    <t>PRD-118</t>
  </si>
  <si>
    <t>Nexora Smart 118</t>
  </si>
  <si>
    <t>PRD-119</t>
  </si>
  <si>
    <t>Nexora Smart 119</t>
  </si>
  <si>
    <t>PRD-120</t>
  </si>
  <si>
    <t>Nexora Smart 120</t>
  </si>
  <si>
    <t>PRD-121</t>
  </si>
  <si>
    <t>Nexora Smart 121</t>
  </si>
  <si>
    <t>PRD-122</t>
  </si>
  <si>
    <t>Nexora Smart 122</t>
  </si>
  <si>
    <t>PRD-123</t>
  </si>
  <si>
    <t>Nexora Smart 123</t>
  </si>
  <si>
    <t>PRD-124</t>
  </si>
  <si>
    <t>Nexora Smart 124</t>
  </si>
  <si>
    <t>PRD-125</t>
  </si>
  <si>
    <t>Nexora Smart 125</t>
  </si>
  <si>
    <t>PRD-126</t>
  </si>
  <si>
    <t>Nexora Smart 126</t>
  </si>
  <si>
    <t>PRD-127</t>
  </si>
  <si>
    <t>Nexora Smart 127</t>
  </si>
  <si>
    <t>PRD-128</t>
  </si>
  <si>
    <t>Nexora Smart 128</t>
  </si>
  <si>
    <t>PRD-129</t>
  </si>
  <si>
    <t>Nexora Smart 129</t>
  </si>
  <si>
    <t>PRD-130</t>
  </si>
  <si>
    <t>Nexora Smart 130</t>
  </si>
  <si>
    <t>PRD-131</t>
  </si>
  <si>
    <t>Nexora Smart 131</t>
  </si>
  <si>
    <t>PRD-132</t>
  </si>
  <si>
    <t>Nexora Smart 132</t>
  </si>
  <si>
    <t>PRD-133</t>
  </si>
  <si>
    <t>Nexora Smart 133</t>
  </si>
  <si>
    <t>PRD-134</t>
  </si>
  <si>
    <t>Nexora Smart 134</t>
  </si>
  <si>
    <t>PRD-135</t>
  </si>
  <si>
    <t>Nexora Smart 135</t>
  </si>
  <si>
    <t>PRD-136</t>
  </si>
  <si>
    <t>Nexora Smart 136</t>
  </si>
  <si>
    <t>PRD-137</t>
  </si>
  <si>
    <t>Nexora Smart 137</t>
  </si>
  <si>
    <t>PRD-138</t>
  </si>
  <si>
    <t>Nexora Smart 138</t>
  </si>
  <si>
    <t>PRD-139</t>
  </si>
  <si>
    <t>Nexora Smart 139</t>
  </si>
  <si>
    <t>PRD-140</t>
  </si>
  <si>
    <t>Nexora Smart 140</t>
  </si>
  <si>
    <t>PRD-141</t>
  </si>
  <si>
    <t>Nexora Smart 141</t>
  </si>
  <si>
    <t>PRD-142</t>
  </si>
  <si>
    <t>Nexora Smart 142</t>
  </si>
  <si>
    <t>PRD-143</t>
  </si>
  <si>
    <t>Nexora Smart 143</t>
  </si>
  <si>
    <t>PRD-144</t>
  </si>
  <si>
    <t>Nexora Smart 144</t>
  </si>
  <si>
    <t>PRD-145</t>
  </si>
  <si>
    <t>Nexora Smart 145</t>
  </si>
  <si>
    <t>PRD-146</t>
  </si>
  <si>
    <t>Nexora Smart 146</t>
  </si>
  <si>
    <t>PRD-147</t>
  </si>
  <si>
    <t>Nexora Smart 147</t>
  </si>
  <si>
    <t>PRD-148</t>
  </si>
  <si>
    <t>Nexora Smart 148</t>
  </si>
  <si>
    <t>PRD-149</t>
  </si>
  <si>
    <t>Nexora Smart 149</t>
  </si>
  <si>
    <t>PRD-150</t>
  </si>
  <si>
    <t>Nexora Smart 150</t>
  </si>
  <si>
    <t>PRD-151</t>
  </si>
  <si>
    <t>Nexora Smart 151</t>
  </si>
  <si>
    <t>PRD-152</t>
  </si>
  <si>
    <t>Nexora Smart 152</t>
  </si>
  <si>
    <t>PRD-153</t>
  </si>
  <si>
    <t>Nexora Smart 153</t>
  </si>
  <si>
    <t>PRD-154</t>
  </si>
  <si>
    <t>Nexora Mobile 154</t>
  </si>
  <si>
    <t>PRD-155</t>
  </si>
  <si>
    <t>Nexora Mobile 155</t>
  </si>
  <si>
    <t>PRD-156</t>
  </si>
  <si>
    <t>Nexora Mobile 156</t>
  </si>
  <si>
    <t>PRD-157</t>
  </si>
  <si>
    <t>Nexora Mobile 157</t>
  </si>
  <si>
    <t>PRD-158</t>
  </si>
  <si>
    <t>Nexora Mobile 158</t>
  </si>
  <si>
    <t>PRD-159</t>
  </si>
  <si>
    <t>Nexora Mobile 159</t>
  </si>
  <si>
    <t>PRD-160</t>
  </si>
  <si>
    <t>Nexora Mobile 160</t>
  </si>
  <si>
    <t>PRD-161</t>
  </si>
  <si>
    <t>Nexora Mobile 161</t>
  </si>
  <si>
    <t>PRD-162</t>
  </si>
  <si>
    <t>Nexora Mobile 162</t>
  </si>
  <si>
    <t>PRD-163</t>
  </si>
  <si>
    <t>Nexora Mobile 163</t>
  </si>
  <si>
    <t>PRD-164</t>
  </si>
  <si>
    <t>Nexora Mobile 164</t>
  </si>
  <si>
    <t>PRD-165</t>
  </si>
  <si>
    <t>Nexora Mobile 165</t>
  </si>
  <si>
    <t>PRD-166</t>
  </si>
  <si>
    <t>Nexora Mobile 166</t>
  </si>
  <si>
    <t>PRD-167</t>
  </si>
  <si>
    <t>Nexora Mobile 167</t>
  </si>
  <si>
    <t>PRD-168</t>
  </si>
  <si>
    <t>Nexora Mobile 168</t>
  </si>
  <si>
    <t>PRD-169</t>
  </si>
  <si>
    <t>Nexora Mobile 169</t>
  </si>
  <si>
    <t>PRD-170</t>
  </si>
  <si>
    <t>Nexora Mobile 170</t>
  </si>
  <si>
    <t>PRD-171</t>
  </si>
  <si>
    <t>Nexora Mobile 171</t>
  </si>
  <si>
    <t>PRD-172</t>
  </si>
  <si>
    <t>Nexora Mobile 172</t>
  </si>
  <si>
    <t>PRD-173</t>
  </si>
  <si>
    <t>Nexora Mobile 173</t>
  </si>
  <si>
    <t>PRD-174</t>
  </si>
  <si>
    <t>Nexora Mobile 174</t>
  </si>
  <si>
    <t>PRD-175</t>
  </si>
  <si>
    <t>Nexora Mobile 175</t>
  </si>
  <si>
    <t>PRD-176</t>
  </si>
  <si>
    <t>Nexora Mobile 176</t>
  </si>
  <si>
    <t>PRD-177</t>
  </si>
  <si>
    <t>Nexora Mobile 177</t>
  </si>
  <si>
    <t>PRD-178</t>
  </si>
  <si>
    <t>Nexora Mobile 178</t>
  </si>
  <si>
    <t>PRD-179</t>
  </si>
  <si>
    <t>Nexora Mobile 179</t>
  </si>
  <si>
    <t>PRD-180</t>
  </si>
  <si>
    <t>Nexora Mobile 180</t>
  </si>
  <si>
    <t>PRD-181</t>
  </si>
  <si>
    <t>Nexora Mobile 181</t>
  </si>
  <si>
    <t>PRD-182</t>
  </si>
  <si>
    <t>Nexora Mobile 182</t>
  </si>
  <si>
    <t>PRD-183</t>
  </si>
  <si>
    <t>Nexora Mobile 183</t>
  </si>
  <si>
    <t>PRD-184</t>
  </si>
  <si>
    <t>Nexora Mobile 184</t>
  </si>
  <si>
    <t>PRD-185</t>
  </si>
  <si>
    <t>Nexora Mobile 185</t>
  </si>
  <si>
    <t>PRD-186</t>
  </si>
  <si>
    <t>Nexora Mobile 186</t>
  </si>
  <si>
    <t>PRD-187</t>
  </si>
  <si>
    <t>Nexora Mobile 187</t>
  </si>
  <si>
    <t>PRD-188</t>
  </si>
  <si>
    <t>Nexora Mobile 188</t>
  </si>
  <si>
    <t>PRD-189</t>
  </si>
  <si>
    <t>Nexora Mobile 189</t>
  </si>
  <si>
    <t>PRD-190</t>
  </si>
  <si>
    <t>Nexora Mobile 190</t>
  </si>
  <si>
    <t>PRD-191</t>
  </si>
  <si>
    <t>Nexora Mobile 191</t>
  </si>
  <si>
    <t>PRD-192</t>
  </si>
  <si>
    <t>Nexora Mobile 192</t>
  </si>
  <si>
    <t>PRD-193</t>
  </si>
  <si>
    <t>Nexora Mobile 193</t>
  </si>
  <si>
    <t>PRD-194</t>
  </si>
  <si>
    <t>Nexora Mobile 194</t>
  </si>
  <si>
    <t>PRD-195</t>
  </si>
  <si>
    <t>Nexora Mobile 195</t>
  </si>
  <si>
    <t>PRD-196</t>
  </si>
  <si>
    <t>Nexora Mobile 196</t>
  </si>
  <si>
    <t>PRD-197</t>
  </si>
  <si>
    <t>Nexora Mobile 197</t>
  </si>
  <si>
    <t>PRD-198</t>
  </si>
  <si>
    <t>Nexora Mobile 198</t>
  </si>
  <si>
    <t>PRD-199</t>
  </si>
  <si>
    <t>Nexora Mobile 199</t>
  </si>
  <si>
    <t>PRD-200</t>
  </si>
  <si>
    <t>Nexora Mobile 200</t>
  </si>
  <si>
    <t>PRD-201</t>
  </si>
  <si>
    <t>Nexora Mobile 201</t>
  </si>
  <si>
    <t>PRD-202</t>
  </si>
  <si>
    <t>Nexora Mobile 202</t>
  </si>
  <si>
    <t>PRD-203</t>
  </si>
  <si>
    <t>Nexora Mobile 203</t>
  </si>
  <si>
    <t>PRD-204</t>
  </si>
  <si>
    <t>Nexora Mobile 204</t>
  </si>
  <si>
    <t>PRD-205</t>
  </si>
  <si>
    <t>Nexora Mobile 205</t>
  </si>
  <si>
    <t>PRD-206</t>
  </si>
  <si>
    <t>Nexora Mobile 206</t>
  </si>
  <si>
    <t>PRD-207</t>
  </si>
  <si>
    <t>Nexora Mobile 207</t>
  </si>
  <si>
    <t>PRD-208</t>
  </si>
  <si>
    <t>Nexora Mobile 208</t>
  </si>
  <si>
    <t>PRD-209</t>
  </si>
  <si>
    <t>Nexora Mobile 209</t>
  </si>
  <si>
    <t>PRD-210</t>
  </si>
  <si>
    <t>Nexora Mobile 210</t>
  </si>
  <si>
    <t>PRD-211</t>
  </si>
  <si>
    <t>Nexora Mobile 211</t>
  </si>
  <si>
    <t>PRD-212</t>
  </si>
  <si>
    <t>Nexora Mobile 212</t>
  </si>
  <si>
    <t>PRD-213</t>
  </si>
  <si>
    <t>Nexora Mobile 213</t>
  </si>
  <si>
    <t>PRD-214</t>
  </si>
  <si>
    <t>Nexora Mobile 214</t>
  </si>
  <si>
    <t>PRD-215</t>
  </si>
  <si>
    <t>Nexora Mobile 215</t>
  </si>
  <si>
    <t>PRD-216</t>
  </si>
  <si>
    <t>Nexora Mobile 216</t>
  </si>
  <si>
    <t>PRD-217</t>
  </si>
  <si>
    <t>Nexora Mobile 217</t>
  </si>
  <si>
    <t>PRD-218</t>
  </si>
  <si>
    <t>Nexora Mobile 218</t>
  </si>
  <si>
    <t>PRD-219</t>
  </si>
  <si>
    <t>Nexora Mobile 219</t>
  </si>
  <si>
    <t>PRD-220</t>
  </si>
  <si>
    <t>Nexora Mobile 220</t>
  </si>
  <si>
    <t>PRD-221</t>
  </si>
  <si>
    <t>Nexora Mobile 221</t>
  </si>
  <si>
    <t>PRD-222</t>
  </si>
  <si>
    <t>Nexora Mobile 222</t>
  </si>
  <si>
    <t>PRD-223</t>
  </si>
  <si>
    <t>Nexora Mobile 223</t>
  </si>
  <si>
    <t>PRD-224</t>
  </si>
  <si>
    <t>Nexora Mobile 224</t>
  </si>
  <si>
    <t>PRD-225</t>
  </si>
  <si>
    <t>Nexora Mobile 225</t>
  </si>
  <si>
    <t>PRD-226</t>
  </si>
  <si>
    <t>Nexora Mobile 226</t>
  </si>
  <si>
    <t>PRD-227</t>
  </si>
  <si>
    <t>Nexora Mobile 227</t>
  </si>
  <si>
    <t>PRD-228</t>
  </si>
  <si>
    <t>Nexora Mobile 228</t>
  </si>
  <si>
    <t>PRD-229</t>
  </si>
  <si>
    <t>Nexora Mobile 229</t>
  </si>
  <si>
    <t>PRD-230</t>
  </si>
  <si>
    <t>Nexora Mobile 230</t>
  </si>
  <si>
    <t>PRD-231</t>
  </si>
  <si>
    <t>Nexora Mobile 231</t>
  </si>
  <si>
    <t>PRD-232</t>
  </si>
  <si>
    <t>Nexora Mobile 232</t>
  </si>
  <si>
    <t>PRD-233</t>
  </si>
  <si>
    <t>Nexora Mobile 233</t>
  </si>
  <si>
    <t>PRD-234</t>
  </si>
  <si>
    <t>Nexora Mobile 234</t>
  </si>
  <si>
    <t>PRD-235</t>
  </si>
  <si>
    <t>Nexora Mobile 235</t>
  </si>
  <si>
    <t>PRD-236</t>
  </si>
  <si>
    <t>Nexora Mobile 236</t>
  </si>
  <si>
    <t>PRD-237</t>
  </si>
  <si>
    <t>Nexora Mobile 237</t>
  </si>
  <si>
    <t>PRD-238</t>
  </si>
  <si>
    <t>Nexora Mobile 238</t>
  </si>
  <si>
    <t>PRD-239</t>
  </si>
  <si>
    <t>Nexora Mobile 239</t>
  </si>
  <si>
    <t>PRD-240</t>
  </si>
  <si>
    <t>Nexora Mobile 240</t>
  </si>
  <si>
    <t>PRD-241</t>
  </si>
  <si>
    <t>Nexora Mobile 241</t>
  </si>
  <si>
    <t>PRD-242</t>
  </si>
  <si>
    <t>Nexora Mobile 242</t>
  </si>
  <si>
    <t>PRD-243</t>
  </si>
  <si>
    <t>Nexora Mobile 243</t>
  </si>
  <si>
    <t>PRD-244</t>
  </si>
  <si>
    <t>Nexora Mobile 244</t>
  </si>
  <si>
    <t>PRD-245</t>
  </si>
  <si>
    <t>Nexora Mobile 245</t>
  </si>
  <si>
    <t>PRD-246</t>
  </si>
  <si>
    <t>Nexora Mobile 246</t>
  </si>
  <si>
    <t>PRD-247</t>
  </si>
  <si>
    <t>Nexora Mobile 247</t>
  </si>
  <si>
    <t>PRD-248</t>
  </si>
  <si>
    <t>Nexora Mobile 248</t>
  </si>
  <si>
    <t>PRD-249</t>
  </si>
  <si>
    <t>Nexora Mobile 249</t>
  </si>
  <si>
    <t>PRD-250</t>
  </si>
  <si>
    <t>Nexora Mobile 250</t>
  </si>
  <si>
    <t>PRD-251</t>
  </si>
  <si>
    <t>Nexora Mobile 251</t>
  </si>
  <si>
    <t>PRD-252</t>
  </si>
  <si>
    <t>Nexora Smart 252</t>
  </si>
  <si>
    <t>PRD-253</t>
  </si>
  <si>
    <t>Nexora Smart 253</t>
  </si>
  <si>
    <t>PRD-254</t>
  </si>
  <si>
    <t>Nexora Smart 254</t>
  </si>
  <si>
    <t>PRD-255</t>
  </si>
  <si>
    <t>Nexora Smart 255</t>
  </si>
  <si>
    <t>PRD-256</t>
  </si>
  <si>
    <t>Nexora Smart 256</t>
  </si>
  <si>
    <t>PRD-257</t>
  </si>
  <si>
    <t>Nexora Smart 257</t>
  </si>
  <si>
    <t>PRD-258</t>
  </si>
  <si>
    <t>Nexora Smart 258</t>
  </si>
  <si>
    <t>PRD-259</t>
  </si>
  <si>
    <t>Nexora Smart 259</t>
  </si>
  <si>
    <t>PRD-260</t>
  </si>
  <si>
    <t>Nexora Smart 260</t>
  </si>
  <si>
    <t>PRD-261</t>
  </si>
  <si>
    <t>Nexora Smart 261</t>
  </si>
  <si>
    <t>PRD-262</t>
  </si>
  <si>
    <t>Nexora Smart 262</t>
  </si>
  <si>
    <t>PRD-263</t>
  </si>
  <si>
    <t>Nexora Smart 263</t>
  </si>
  <si>
    <t>PRD-264</t>
  </si>
  <si>
    <t>Nexora Smart 264</t>
  </si>
  <si>
    <t>PRD-265</t>
  </si>
  <si>
    <t>Nexora Smart 265</t>
  </si>
  <si>
    <t>PRD-266</t>
  </si>
  <si>
    <t>Nexora Smart 266</t>
  </si>
  <si>
    <t>PRD-267</t>
  </si>
  <si>
    <t>Nexora Smart 267</t>
  </si>
  <si>
    <t>PRD-268</t>
  </si>
  <si>
    <t>Nexora Smart 268</t>
  </si>
  <si>
    <t>PRD-269</t>
  </si>
  <si>
    <t>Nexora Smart 269</t>
  </si>
  <si>
    <t>PRD-270</t>
  </si>
  <si>
    <t>Nexora Smart 270</t>
  </si>
  <si>
    <t>PRD-271</t>
  </si>
  <si>
    <t>Nexora Smart 271</t>
  </si>
  <si>
    <t>PRD-272</t>
  </si>
  <si>
    <t>NEXORA SMART 272</t>
  </si>
  <si>
    <t>PRD-273</t>
  </si>
  <si>
    <t>Nexora Smart 273</t>
  </si>
  <si>
    <t>PRD-274</t>
  </si>
  <si>
    <t>Nexora Smart 274</t>
  </si>
  <si>
    <t>PRD-275</t>
  </si>
  <si>
    <t>Nexora Smart 275</t>
  </si>
  <si>
    <t>PRD-276</t>
  </si>
  <si>
    <t>Nexora Smart 276</t>
  </si>
  <si>
    <t>PRD-277</t>
  </si>
  <si>
    <t>Nexora Smart 277</t>
  </si>
  <si>
    <t>PRD-278</t>
  </si>
  <si>
    <t>Nexora Smart 278</t>
  </si>
  <si>
    <t>PRD-279</t>
  </si>
  <si>
    <t>Nexora Smart 279</t>
  </si>
  <si>
    <t>PRD-280</t>
  </si>
  <si>
    <t>Nexora Smart 280</t>
  </si>
  <si>
    <t>PRD-281</t>
  </si>
  <si>
    <t>Nexora Smart 281</t>
  </si>
  <si>
    <t>PRD-282</t>
  </si>
  <si>
    <t>Nexora Smart 282</t>
  </si>
  <si>
    <t>PRD-283</t>
  </si>
  <si>
    <t>Nexora Smart 283</t>
  </si>
  <si>
    <t>PRD-284</t>
  </si>
  <si>
    <t>Nexora Smart 284</t>
  </si>
  <si>
    <t>PRD-285</t>
  </si>
  <si>
    <t>Nexora Smart 285</t>
  </si>
  <si>
    <t>PRD-286</t>
  </si>
  <si>
    <t>Nexora Smart 286</t>
  </si>
  <si>
    <t>PRD-287</t>
  </si>
  <si>
    <t>Nexora Smart 287</t>
  </si>
  <si>
    <t>PRD-288</t>
  </si>
  <si>
    <t>Nexora Smart 288</t>
  </si>
  <si>
    <t>PRD-289</t>
  </si>
  <si>
    <t>Nexora Smart 289</t>
  </si>
  <si>
    <t>PRD-290</t>
  </si>
  <si>
    <t>Nexora Smart 290</t>
  </si>
  <si>
    <t>PRD-291</t>
  </si>
  <si>
    <t>Nexora Smart 291</t>
  </si>
  <si>
    <t>PRD-292</t>
  </si>
  <si>
    <t>Nexora Smart 292</t>
  </si>
  <si>
    <t>PRD-293</t>
  </si>
  <si>
    <t>Nexora Smart 293</t>
  </si>
  <si>
    <t>PRD-294</t>
  </si>
  <si>
    <t>Nexora Smart 294</t>
  </si>
  <si>
    <t>PRD-295</t>
  </si>
  <si>
    <t>Nexora Smart 295</t>
  </si>
  <si>
    <t>PRD-296</t>
  </si>
  <si>
    <t>Nexora Smart 296</t>
  </si>
  <si>
    <t>PRD-297</t>
  </si>
  <si>
    <t>Nexora Smart 297</t>
  </si>
  <si>
    <t>PRD-298</t>
  </si>
  <si>
    <t>Nexora Smart 298</t>
  </si>
  <si>
    <t>PRD-299</t>
  </si>
  <si>
    <t>Nexora Smart 299</t>
  </si>
  <si>
    <t>PRD-300</t>
  </si>
  <si>
    <t>Nexora Smart 300</t>
  </si>
  <si>
    <t>PRD-301</t>
  </si>
  <si>
    <t>Nexora Smart 301</t>
  </si>
  <si>
    <t>PRD-302</t>
  </si>
  <si>
    <t>Nexora Smart 302</t>
  </si>
  <si>
    <t>PRD-303</t>
  </si>
  <si>
    <t>Nexora Smart 303</t>
  </si>
  <si>
    <t>PRD-304</t>
  </si>
  <si>
    <t>Nexora Smart 304</t>
  </si>
  <si>
    <t>PRD-305</t>
  </si>
  <si>
    <t>Nexora Smart 305</t>
  </si>
  <si>
    <t>PRD-306</t>
  </si>
  <si>
    <t>Nexora Smart 306</t>
  </si>
  <si>
    <t>PRD-307</t>
  </si>
  <si>
    <t>Nexora Smart 307</t>
  </si>
  <si>
    <t>PRD-308</t>
  </si>
  <si>
    <t>Nexora Smart 308</t>
  </si>
  <si>
    <t>PRD-309</t>
  </si>
  <si>
    <t>Nexora Smart 309</t>
  </si>
  <si>
    <t>PRD-310</t>
  </si>
  <si>
    <t>Nexora Smart 310</t>
  </si>
  <si>
    <t>PRD-311</t>
  </si>
  <si>
    <t>Nexora Computer 311</t>
  </si>
  <si>
    <t>Computer Accessories</t>
  </si>
  <si>
    <t>PRD-312</t>
  </si>
  <si>
    <t>Nexora Computer 312</t>
  </si>
  <si>
    <t>PRD-313</t>
  </si>
  <si>
    <t>Nexora Computer 313</t>
  </si>
  <si>
    <t>PRD-314</t>
  </si>
  <si>
    <t>Nexora Computer 314</t>
  </si>
  <si>
    <t>PRD-315</t>
  </si>
  <si>
    <t>Nexora Computer 315</t>
  </si>
  <si>
    <t>PRD-316</t>
  </si>
  <si>
    <t>Nexora Computer 316</t>
  </si>
  <si>
    <t>PRD-317</t>
  </si>
  <si>
    <t>Nexora Computer 317</t>
  </si>
  <si>
    <t>PRD-318</t>
  </si>
  <si>
    <t>Nexora Computer 318</t>
  </si>
  <si>
    <t>PRD-319</t>
  </si>
  <si>
    <t>Nexora Computer 319</t>
  </si>
  <si>
    <t>PRD-320</t>
  </si>
  <si>
    <t>Nexora Computer 320</t>
  </si>
  <si>
    <t>PRD-321</t>
  </si>
  <si>
    <t>Nexora Computer 321</t>
  </si>
  <si>
    <t>PRD-322</t>
  </si>
  <si>
    <t>Nexora Computer 322</t>
  </si>
  <si>
    <t>PRD-323</t>
  </si>
  <si>
    <t>Nexora Computer 323</t>
  </si>
  <si>
    <t>PRD-324</t>
  </si>
  <si>
    <t>Nexora Computer 324</t>
  </si>
  <si>
    <t>PRD-325</t>
  </si>
  <si>
    <t>NEXORA COMPUTER 325</t>
  </si>
  <si>
    <t>PRD-326</t>
  </si>
  <si>
    <t>Nexora Computer 326</t>
  </si>
  <si>
    <t>PRD-327</t>
  </si>
  <si>
    <t>Nexora Computer 327</t>
  </si>
  <si>
    <t>PRD-328</t>
  </si>
  <si>
    <t>Nexora Computer 328</t>
  </si>
  <si>
    <t>PRD-329</t>
  </si>
  <si>
    <t>Nexora Computer 329</t>
  </si>
  <si>
    <t>PRD-330</t>
  </si>
  <si>
    <t>Nexora Computer 330</t>
  </si>
  <si>
    <t>PRD-331</t>
  </si>
  <si>
    <t>Nexora Computer 331</t>
  </si>
  <si>
    <t>PRD-332</t>
  </si>
  <si>
    <t>Nexora Computer 332</t>
  </si>
  <si>
    <t>PRD-333</t>
  </si>
  <si>
    <t>Nexora Computer 333</t>
  </si>
  <si>
    <t>PRD-334</t>
  </si>
  <si>
    <t>Nexora Computer 334</t>
  </si>
  <si>
    <t>PRD-335</t>
  </si>
  <si>
    <t>Nexora Computer 335</t>
  </si>
  <si>
    <t>PRD-336</t>
  </si>
  <si>
    <t>Nexora Computer 336</t>
  </si>
  <si>
    <t>PRD-337</t>
  </si>
  <si>
    <t>Nexora Computer 337</t>
  </si>
  <si>
    <t>PRD-338</t>
  </si>
  <si>
    <t>Nexora Computer 338</t>
  </si>
  <si>
    <t>PRD-339</t>
  </si>
  <si>
    <t>Nexora Computer 339</t>
  </si>
  <si>
    <t>PRD-340</t>
  </si>
  <si>
    <t>Nexora Computer 340</t>
  </si>
  <si>
    <t>PRD-341</t>
  </si>
  <si>
    <t>Nexora Computer 341</t>
  </si>
  <si>
    <t>PRD-342</t>
  </si>
  <si>
    <t>Nexora Computer 342</t>
  </si>
  <si>
    <t>PRD-343</t>
  </si>
  <si>
    <t>Nexora Computer 343</t>
  </si>
  <si>
    <t>PRD-344</t>
  </si>
  <si>
    <t>Nexora Computer 344</t>
  </si>
  <si>
    <t>PRD-345</t>
  </si>
  <si>
    <t>Nexora Computer 345</t>
  </si>
  <si>
    <t>PRD-346</t>
  </si>
  <si>
    <t>Nexora Computer 346</t>
  </si>
  <si>
    <t>PRD-347</t>
  </si>
  <si>
    <t>Nexora Computer 347</t>
  </si>
  <si>
    <t>PRD-348</t>
  </si>
  <si>
    <t>Nexora Computer 348</t>
  </si>
  <si>
    <t>PRD-349</t>
  </si>
  <si>
    <t>Nexora Computer 349</t>
  </si>
  <si>
    <t>PRD-350</t>
  </si>
  <si>
    <t>NEXORA COMPUTER 350</t>
  </si>
  <si>
    <t>PRD-351</t>
  </si>
  <si>
    <t>Nexora Computer 351</t>
  </si>
  <si>
    <t>PRD-352</t>
  </si>
  <si>
    <t>NEXORA COMPUTER 352</t>
  </si>
  <si>
    <t>PRD-353</t>
  </si>
  <si>
    <t>Nexora Computer 353</t>
  </si>
  <si>
    <t>PRD-354</t>
  </si>
  <si>
    <t>Nexora Computer 354</t>
  </si>
  <si>
    <t>PRD-355</t>
  </si>
  <si>
    <t>Nexora Computer 355</t>
  </si>
  <si>
    <t>PRD-356</t>
  </si>
  <si>
    <t>Nexora Computer 356</t>
  </si>
  <si>
    <t>PRD-357</t>
  </si>
  <si>
    <t>Nexora Computer 357</t>
  </si>
  <si>
    <t>PRD-358</t>
  </si>
  <si>
    <t>Nexora Computer 358</t>
  </si>
  <si>
    <t>PRD-359</t>
  </si>
  <si>
    <t>Nexora Computer 359</t>
  </si>
  <si>
    <t>PRD-360</t>
  </si>
  <si>
    <t>Nexora Computer 360</t>
  </si>
  <si>
    <t>PRD-361</t>
  </si>
  <si>
    <t>Nexora Computer 361</t>
  </si>
  <si>
    <t>PRD-362</t>
  </si>
  <si>
    <t>Nexora Computer 362</t>
  </si>
  <si>
    <t>PRD-363</t>
  </si>
  <si>
    <t>NEXORA COMPUTER 363</t>
  </si>
  <si>
    <t>PRD-364</t>
  </si>
  <si>
    <t>Nexora Computer 364</t>
  </si>
  <si>
    <t>PRD-365</t>
  </si>
  <si>
    <t>Nexora Computer 365</t>
  </si>
  <si>
    <t>PRD-366</t>
  </si>
  <si>
    <t>Nexora Computer 366</t>
  </si>
  <si>
    <t>PRD-367</t>
  </si>
  <si>
    <t>Nexora Computer 367</t>
  </si>
  <si>
    <t>PRD-368</t>
  </si>
  <si>
    <t>Nexora Computer 368</t>
  </si>
  <si>
    <t>PRD-369</t>
  </si>
  <si>
    <t>Nexora Computer 369</t>
  </si>
  <si>
    <t>PRD-370</t>
  </si>
  <si>
    <t>Nexora Computer 370</t>
  </si>
  <si>
    <t>PRD-371</t>
  </si>
  <si>
    <t>Nexora Computer 371</t>
  </si>
  <si>
    <t>PRD-372</t>
  </si>
  <si>
    <t>Nexora Computer 372</t>
  </si>
  <si>
    <t>PRD-373</t>
  </si>
  <si>
    <t>Nexora Computer 373</t>
  </si>
  <si>
    <t>PRD-374</t>
  </si>
  <si>
    <t>Nexora Computer 374</t>
  </si>
  <si>
    <t>PRD-375</t>
  </si>
  <si>
    <t>Nexora Computer 375</t>
  </si>
  <si>
    <t>PRD-376</t>
  </si>
  <si>
    <t>Nexora Computer 376</t>
  </si>
  <si>
    <t>PRD-377</t>
  </si>
  <si>
    <t>Nexora Computer 377</t>
  </si>
  <si>
    <t>PRD-378</t>
  </si>
  <si>
    <t>Nexora Computer 378</t>
  </si>
  <si>
    <t>PRD-379</t>
  </si>
  <si>
    <t>Nexora Computer 379</t>
  </si>
  <si>
    <t>PRD-380</t>
  </si>
  <si>
    <t>Nexora Computer 380</t>
  </si>
  <si>
    <t>PRD-381</t>
  </si>
  <si>
    <t>Nexora Computer 381</t>
  </si>
  <si>
    <t>PRD-382</t>
  </si>
  <si>
    <t>Nexora Computer 382</t>
  </si>
  <si>
    <t>PRD-383</t>
  </si>
  <si>
    <t>Nexora Computer 383</t>
  </si>
  <si>
    <t>PRD-384</t>
  </si>
  <si>
    <t>Nexora Computer 384</t>
  </si>
  <si>
    <t>PRD-385</t>
  </si>
  <si>
    <t>Nexora Computer 385</t>
  </si>
  <si>
    <t>PRD-386</t>
  </si>
  <si>
    <t>Nexora Computer 386</t>
  </si>
  <si>
    <t>PRD-387</t>
  </si>
  <si>
    <t>Nexora Computer 387</t>
  </si>
  <si>
    <t>PRD-388</t>
  </si>
  <si>
    <t>Nexora Computer 388</t>
  </si>
  <si>
    <t>PRD-389</t>
  </si>
  <si>
    <t>Nexora Computer 389</t>
  </si>
  <si>
    <t>PRD-390</t>
  </si>
  <si>
    <t>Nexora Computer 390</t>
  </si>
  <si>
    <t>PRD-391</t>
  </si>
  <si>
    <t>Nexora Personal 391</t>
  </si>
  <si>
    <t>Personal Electronics</t>
  </si>
  <si>
    <t>PRD-392</t>
  </si>
  <si>
    <t>Nexora Personal 392</t>
  </si>
  <si>
    <t>PRD-393</t>
  </si>
  <si>
    <t>Nexora Personal 393</t>
  </si>
  <si>
    <t>PRD-394</t>
  </si>
  <si>
    <t>Nexora Personal 394</t>
  </si>
  <si>
    <t>PRD-395</t>
  </si>
  <si>
    <t>Nexora Personal 395</t>
  </si>
  <si>
    <t>PRD-396</t>
  </si>
  <si>
    <t>Nexora Personal 396</t>
  </si>
  <si>
    <t>PRD-397</t>
  </si>
  <si>
    <t>Nexora Personal 397</t>
  </si>
  <si>
    <t>PRD-398</t>
  </si>
  <si>
    <t>Nexora Personal 398</t>
  </si>
  <si>
    <t>PRD-399</t>
  </si>
  <si>
    <t>Nexora Personal 399</t>
  </si>
  <si>
    <t>PRD-400</t>
  </si>
  <si>
    <t>Nexora Personal 400</t>
  </si>
  <si>
    <t>PRD-401</t>
  </si>
  <si>
    <t>NEXORA PERSONAL 401</t>
  </si>
  <si>
    <t>PRD-402</t>
  </si>
  <si>
    <t>Nexora Personal 402</t>
  </si>
  <si>
    <t>PRD-403</t>
  </si>
  <si>
    <t>Nexora Personal 403</t>
  </si>
  <si>
    <t>PRD-404</t>
  </si>
  <si>
    <t>Nexora Personal 404</t>
  </si>
  <si>
    <t>PRD-405</t>
  </si>
  <si>
    <t>Nexora Personal 405</t>
  </si>
  <si>
    <t>PRD-406</t>
  </si>
  <si>
    <t>Nexora Personal 406</t>
  </si>
  <si>
    <t>PRD-407</t>
  </si>
  <si>
    <t>Nexora Personal 407</t>
  </si>
  <si>
    <t>PRD-408</t>
  </si>
  <si>
    <t>Nexora Personal 408</t>
  </si>
  <si>
    <t>PRD-409</t>
  </si>
  <si>
    <t>NEXORA PERSONAL 409</t>
  </si>
  <si>
    <t>PRD-410</t>
  </si>
  <si>
    <t>Nexora Personal 410</t>
  </si>
  <si>
    <t>PRD-411</t>
  </si>
  <si>
    <t>Nexora Personal 411</t>
  </si>
  <si>
    <t>PRD-412</t>
  </si>
  <si>
    <t>Nexora Personal 412</t>
  </si>
  <si>
    <t>PRD-413</t>
  </si>
  <si>
    <t>Nexora Personal 413</t>
  </si>
  <si>
    <t>PRD-414</t>
  </si>
  <si>
    <t>Nexora Personal 414</t>
  </si>
  <si>
    <t>PRD-415</t>
  </si>
  <si>
    <t>Nexora Personal 415</t>
  </si>
  <si>
    <t>PRD-416</t>
  </si>
  <si>
    <t>Nexora Personal 416</t>
  </si>
  <si>
    <t>PRD-417</t>
  </si>
  <si>
    <t>Nexora Personal 417</t>
  </si>
  <si>
    <t>PRD-418</t>
  </si>
  <si>
    <t>Nexora Personal 418</t>
  </si>
  <si>
    <t>PRD-419</t>
  </si>
  <si>
    <t>Nexora Personal 419</t>
  </si>
  <si>
    <t>PRD-420</t>
  </si>
  <si>
    <t>Nexora Personal 420</t>
  </si>
  <si>
    <t>PRD-421</t>
  </si>
  <si>
    <t>Nexora Personal 421</t>
  </si>
  <si>
    <t>PRD-422</t>
  </si>
  <si>
    <t>Nexora Personal 422</t>
  </si>
  <si>
    <t>PRD-423</t>
  </si>
  <si>
    <t>Nexora Personal 423</t>
  </si>
  <si>
    <t>PRD-424</t>
  </si>
  <si>
    <t>Nexora Personal 424</t>
  </si>
  <si>
    <t>PRD-425</t>
  </si>
  <si>
    <t>Nexora Personal 425</t>
  </si>
  <si>
    <t>PRD-426</t>
  </si>
  <si>
    <t>Nexora Personal 426</t>
  </si>
  <si>
    <t>PRD-427</t>
  </si>
  <si>
    <t>Nexora Personal 427</t>
  </si>
  <si>
    <t>PRD-428</t>
  </si>
  <si>
    <t>Nexora Personal 428</t>
  </si>
  <si>
    <t>PRD-429</t>
  </si>
  <si>
    <t>Nexora Personal 429</t>
  </si>
  <si>
    <t>PRD-430</t>
  </si>
  <si>
    <t>Nexora Personal 430</t>
  </si>
  <si>
    <t>PRD-431</t>
  </si>
  <si>
    <t>Nexora Personal 431</t>
  </si>
  <si>
    <t>PRD-432</t>
  </si>
  <si>
    <t>Nexora Personal 432</t>
  </si>
  <si>
    <t>PRD-433</t>
  </si>
  <si>
    <t>Nexora Personal 433</t>
  </si>
  <si>
    <t>PRD-434</t>
  </si>
  <si>
    <t>Nexora Personal 434</t>
  </si>
  <si>
    <t>PRD-435</t>
  </si>
  <si>
    <t>Nexora Personal 435</t>
  </si>
  <si>
    <t>PRD-436</t>
  </si>
  <si>
    <t>Nexora Personal 436</t>
  </si>
  <si>
    <t>PRD-437</t>
  </si>
  <si>
    <t>Nexora Personal 437</t>
  </si>
  <si>
    <t>PRD-438</t>
  </si>
  <si>
    <t>Nexora Personal 438</t>
  </si>
  <si>
    <t>PRD-439</t>
  </si>
  <si>
    <t>Nexora Personal 439</t>
  </si>
  <si>
    <t>PRD-440</t>
  </si>
  <si>
    <t>Nexora Personal 440</t>
  </si>
  <si>
    <t>PRD-441</t>
  </si>
  <si>
    <t>Nexora Personal 441</t>
  </si>
  <si>
    <t>PRD-442</t>
  </si>
  <si>
    <t>Nexora Personal 442</t>
  </si>
  <si>
    <t>PRD-443</t>
  </si>
  <si>
    <t>Nexora Personal 443</t>
  </si>
  <si>
    <t>PRD-444</t>
  </si>
  <si>
    <t>Nexora Personal 444</t>
  </si>
  <si>
    <t>PRD-445</t>
  </si>
  <si>
    <t>Nexora Personal 445</t>
  </si>
  <si>
    <t>PRD-446</t>
  </si>
  <si>
    <t>Nexora Personal 446</t>
  </si>
  <si>
    <t>PRD-447</t>
  </si>
  <si>
    <t>Nexora Personal 447</t>
  </si>
  <si>
    <t>PRD-448</t>
  </si>
  <si>
    <t>Nexora Personal 448</t>
  </si>
  <si>
    <t>PRD-449</t>
  </si>
  <si>
    <t>Nexora Personal 449</t>
  </si>
  <si>
    <t>PRD-450</t>
  </si>
  <si>
    <t>Nexora Personal 450</t>
  </si>
  <si>
    <t>PRD-451</t>
  </si>
  <si>
    <t>Nexora Wearables 451</t>
  </si>
  <si>
    <t>Wearables</t>
  </si>
  <si>
    <t>PRD-452</t>
  </si>
  <si>
    <t>Nexora Wearables 452</t>
  </si>
  <si>
    <t>PRD-453</t>
  </si>
  <si>
    <t>Nexora Wearables 453</t>
  </si>
  <si>
    <t>PRD-454</t>
  </si>
  <si>
    <t>Nexora Wearables 454</t>
  </si>
  <si>
    <t>PRD-455</t>
  </si>
  <si>
    <t>Nexora Wearables 455</t>
  </si>
  <si>
    <t>PRD-456</t>
  </si>
  <si>
    <t>Nexora Wearables 456</t>
  </si>
  <si>
    <t>PRD-457</t>
  </si>
  <si>
    <t>Nexora Wearables 457</t>
  </si>
  <si>
    <t>PRD-458</t>
  </si>
  <si>
    <t>Nexora Wearables 458</t>
  </si>
  <si>
    <t>PRD-459</t>
  </si>
  <si>
    <t>Nexora Wearables 459</t>
  </si>
  <si>
    <t>PRD-460</t>
  </si>
  <si>
    <t>Nexora Wearables 460</t>
  </si>
  <si>
    <t>PRD-461</t>
  </si>
  <si>
    <t>Nexora Wearables 461</t>
  </si>
  <si>
    <t>PRD-462</t>
  </si>
  <si>
    <t>Nexora Wearables 462</t>
  </si>
  <si>
    <t>PRD-463</t>
  </si>
  <si>
    <t>Nexora Wearables 463</t>
  </si>
  <si>
    <t>PRD-464</t>
  </si>
  <si>
    <t>Nexora Wearables 464</t>
  </si>
  <si>
    <t>PRD-465</t>
  </si>
  <si>
    <t>Nexora Wearables 465</t>
  </si>
  <si>
    <t>PRD-466</t>
  </si>
  <si>
    <t>Nexora Wearables 466</t>
  </si>
  <si>
    <t>PRD-467</t>
  </si>
  <si>
    <t>Nexora Wearables 467</t>
  </si>
  <si>
    <t>PRD-468</t>
  </si>
  <si>
    <t>Nexora Wearables 468</t>
  </si>
  <si>
    <t>PRD-469</t>
  </si>
  <si>
    <t>Nexora Wearables 469</t>
  </si>
  <si>
    <t>PRD-470</t>
  </si>
  <si>
    <t>Nexora Wearables 470</t>
  </si>
  <si>
    <t>PRD-471</t>
  </si>
  <si>
    <t>Nexora Wearables 471</t>
  </si>
  <si>
    <t>PRD-472</t>
  </si>
  <si>
    <t>Nexora Wearables 472</t>
  </si>
  <si>
    <t>PRD-473</t>
  </si>
  <si>
    <t>Nexora Wearables 473</t>
  </si>
  <si>
    <t>PRD-474</t>
  </si>
  <si>
    <t>Nexora Wearables 474</t>
  </si>
  <si>
    <t>PRD-475</t>
  </si>
  <si>
    <t>Nexora Wearables 475</t>
  </si>
  <si>
    <t>PRD-476</t>
  </si>
  <si>
    <t>Nexora Wearables 476</t>
  </si>
  <si>
    <t>PRD-477</t>
  </si>
  <si>
    <t>Nexora Wearables 477</t>
  </si>
  <si>
    <t>PRD-478</t>
  </si>
  <si>
    <t>Nexora Wearables 478</t>
  </si>
  <si>
    <t>PRD-479</t>
  </si>
  <si>
    <t>Nexora Wearables 479</t>
  </si>
  <si>
    <t>PRD-480</t>
  </si>
  <si>
    <t>Nexora Wearables 480</t>
  </si>
  <si>
    <t>PRD-481</t>
  </si>
  <si>
    <t>Nexora Wearables 481</t>
  </si>
  <si>
    <t>PRD-482</t>
  </si>
  <si>
    <t>Nexora Wearables 482</t>
  </si>
  <si>
    <t>PRD-483</t>
  </si>
  <si>
    <t>Nexora Wearables 483</t>
  </si>
  <si>
    <t>PRD-484</t>
  </si>
  <si>
    <t>Nexora Wearables 484</t>
  </si>
  <si>
    <t>PRD-485</t>
  </si>
  <si>
    <t>Nexora Wearables 485</t>
  </si>
  <si>
    <t>PRD-486</t>
  </si>
  <si>
    <t>Nexora Wearables 486</t>
  </si>
  <si>
    <t>PRD-487</t>
  </si>
  <si>
    <t>Nexora Wearables 487</t>
  </si>
  <si>
    <t>PRD-488</t>
  </si>
  <si>
    <t>Nexora Wearables 488</t>
  </si>
  <si>
    <t>PRD-489</t>
  </si>
  <si>
    <t>Nexora Wearables 489</t>
  </si>
  <si>
    <t>PRD-490</t>
  </si>
  <si>
    <t>Nexora Wearables 490</t>
  </si>
  <si>
    <t>PRD-491</t>
  </si>
  <si>
    <t>Nexora Wearables 491</t>
  </si>
  <si>
    <t>PRD-492</t>
  </si>
  <si>
    <t>Nexora Wearables 492</t>
  </si>
  <si>
    <t>PRD-493</t>
  </si>
  <si>
    <t>Nexora Wearables 493</t>
  </si>
  <si>
    <t>PRD-494</t>
  </si>
  <si>
    <t>Nexora Wearables 494</t>
  </si>
  <si>
    <t>PRD-495</t>
  </si>
  <si>
    <t>Nexora Wearables 495</t>
  </si>
  <si>
    <t>PRD-496</t>
  </si>
  <si>
    <t>Nexora Wearables 496</t>
  </si>
  <si>
    <t>PRD-497</t>
  </si>
  <si>
    <t>Nexora Wearables 497</t>
  </si>
  <si>
    <t>PRD-498</t>
  </si>
  <si>
    <t>Nexora Wearables 498</t>
  </si>
  <si>
    <t>PRD-499</t>
  </si>
  <si>
    <t>Nexora Wearables 499</t>
  </si>
  <si>
    <t>PRD-500</t>
  </si>
  <si>
    <t>Nexora Wearables 500</t>
  </si>
  <si>
    <t>Product ID</t>
  </si>
  <si>
    <t>Product Name</t>
  </si>
  <si>
    <t>Category</t>
  </si>
  <si>
    <t>Launch Date</t>
  </si>
  <si>
    <t>Days Since Launch</t>
  </si>
  <si>
    <t>Maturity Status</t>
  </si>
  <si>
    <t>Selling Price</t>
  </si>
  <si>
    <t>Unit Cost</t>
  </si>
  <si>
    <t>Total Orders</t>
  </si>
  <si>
    <t>Total Units Sold</t>
  </si>
  <si>
    <t>Gross Sales</t>
  </si>
  <si>
    <t>Discount Amount</t>
  </si>
  <si>
    <t>Net Sales</t>
  </si>
  <si>
    <t>Total Cost</t>
  </si>
  <si>
    <t>Gross Profit</t>
  </si>
  <si>
    <t>Effective Margin %</t>
  </si>
  <si>
    <t>Returned Orders</t>
  </si>
  <si>
    <t>Total Refund Amount</t>
  </si>
  <si>
    <t>Return Rate %</t>
  </si>
  <si>
    <t>Total Reviews</t>
  </si>
  <si>
    <t>Average Rating</t>
  </si>
  <si>
    <t>Campaign Spend</t>
  </si>
  <si>
    <t>Attributed Revenue</t>
  </si>
  <si>
    <t>ROAS</t>
  </si>
  <si>
    <t>Product Archetype</t>
  </si>
  <si>
    <t>Row Labels</t>
  </si>
  <si>
    <t>Grand Total</t>
  </si>
  <si>
    <t>Sum of Net Sales</t>
  </si>
  <si>
    <t>Sum of Effective Margin %</t>
  </si>
  <si>
    <t>Average of Return Rate %</t>
  </si>
  <si>
    <t>Average of Effective Margin %</t>
  </si>
  <si>
    <t>Count of Product ID</t>
  </si>
  <si>
    <t>Sum of Gross Profit</t>
  </si>
  <si>
    <t>Sum of Total Refund Amount</t>
  </si>
  <si>
    <t>Sum of Campaign Spend</t>
  </si>
  <si>
    <t>Sum of ROAS</t>
  </si>
  <si>
    <t>NEXORA DASHBOARD FOR PRODUCT ANALYSIS:</t>
  </si>
  <si>
    <t>Archetype Category</t>
  </si>
  <si>
    <t>SKU Count</t>
  </si>
  <si>
    <t>% of Portfolio</t>
  </si>
  <si>
    <t>Strategic Action</t>
  </si>
  <si>
    <t>Scale &amp; Protect</t>
  </si>
  <si>
    <r>
      <t xml:space="preserve">1 </t>
    </r>
    <r>
      <rPr>
        <i/>
        <sz val="11"/>
        <color theme="1"/>
        <rFont val="Arial"/>
        <family val="2"/>
      </rPr>
      <t>(PRD-002)</t>
    </r>
  </si>
  <si>
    <t>Restructure / Prune</t>
  </si>
  <si>
    <t>Increase Ad Spend</t>
  </si>
  <si>
    <t>Audit &amp; Rework</t>
  </si>
  <si>
    <r>
      <t xml:space="preserve">1 </t>
    </r>
    <r>
      <rPr>
        <i/>
        <sz val="11"/>
        <color theme="1"/>
        <rFont val="Arial"/>
        <family val="2"/>
      </rPr>
      <t>(PRD-005)</t>
    </r>
  </si>
  <si>
    <t>Protect Status (90 Days)</t>
  </si>
  <si>
    <t>Strategic Archetype Summary Table</t>
  </si>
  <si>
    <t>SKU ID</t>
  </si>
  <si>
    <t>Rating</t>
  </si>
  <si>
    <t>Archetype</t>
  </si>
  <si>
    <t>₹24.30 Cr</t>
  </si>
  <si>
    <t>₹12.44 Cr</t>
  </si>
  <si>
    <t>₹2.50 Cr</t>
  </si>
  <si>
    <t>₹0.41 Cr</t>
  </si>
  <si>
    <t>₹0.18 Cr</t>
  </si>
  <si>
    <t>9.48x</t>
  </si>
  <si>
    <t>1.53x</t>
  </si>
  <si>
    <t>4.25x</t>
  </si>
  <si>
    <t>0.53x</t>
  </si>
  <si>
    <t>3.10x</t>
  </si>
  <si>
    <t>Key SKU Outlier Spotlight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</si>
</sst>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 #,##0;[Red]&quot;₹&quot;\ \-#,##0"/>
    <numFmt numFmtId="44" formatCode="_ &quot;₹&quot;\ * #,##0.00_ ;_ &quot;₹&quot;\ * \-#,##0.00_ ;_ &quot;₹&quot;\ * &quot;-&quot;??_ ;_ @_ "/>
    <numFmt numFmtId="164" formatCode="&quot;₹&quot;\ #,##0.00"/>
    <numFmt numFmtId="165" formatCode="&quot;₹&quot;\ #,##0;[Red]&quot;₹&quot;\ #,##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8"/>
      <name val="Calibri"/>
      <family val="2"/>
      <scheme val="minor"/>
    </font>
    <font>
      <sz val="11"/>
      <color theme="1"/>
      <name val="Arial"/>
      <family val="2"/>
    </font>
    <font>
      <b/>
      <sz val="11"/>
      <color theme="1"/>
      <name val="Arial"/>
      <family val="2"/>
    </font>
    <font>
      <sz val="24"/>
      <color theme="0"/>
      <name val="Calibri"/>
      <family val="2"/>
      <scheme val="minor"/>
    </font>
    <font>
      <i/>
      <sz val="11"/>
      <color theme="1"/>
      <name val="Arial"/>
      <family val="2"/>
    </font>
    <font>
      <sz val="2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rgb="FFC4C7C5"/>
      </left>
      <right style="medium">
        <color rgb="FFC4C7C5"/>
      </right>
      <top style="medium">
        <color rgb="FFC4C7C5"/>
      </top>
      <bottom style="medium">
        <color rgb="FFC4C7C5"/>
      </bottom>
      <diagonal/>
    </border>
    <border>
      <left/>
      <right style="medium">
        <color rgb="FFC4C7C5"/>
      </right>
      <top style="medium">
        <color rgb="FFC4C7C5"/>
      </top>
      <bottom style="medium">
        <color rgb="FFC4C7C5"/>
      </bottom>
      <diagonal/>
    </border>
    <border>
      <left style="medium">
        <color rgb="FFC4C7C5"/>
      </left>
      <right/>
      <top style="medium">
        <color rgb="FFC4C7C5"/>
      </top>
      <bottom style="medium">
        <color rgb="FFC4C7C5"/>
      </bottom>
      <diagonal/>
    </border>
    <border>
      <left/>
      <right style="medium">
        <color rgb="FFC4C7C5"/>
      </right>
      <top/>
      <bottom style="medium">
        <color rgb="FFC4C7C5"/>
      </bottom>
      <diagonal/>
    </border>
    <border>
      <left style="medium">
        <color rgb="FFC4C7C5"/>
      </left>
      <right style="medium">
        <color rgb="FFC4C7C5"/>
      </right>
      <top/>
      <bottom style="medium">
        <color rgb="FFC4C7C5"/>
      </bottom>
      <diagonal/>
    </border>
    <border>
      <left style="medium">
        <color rgb="FFC4C7C5"/>
      </left>
      <right/>
      <top/>
      <bottom style="medium">
        <color rgb="FFC4C7C5"/>
      </bottom>
      <diagonal/>
    </border>
    <border>
      <left/>
      <right style="medium">
        <color rgb="FFC4C7C5"/>
      </right>
      <top style="medium">
        <color rgb="FFC4C7C5"/>
      </top>
      <bottom/>
      <diagonal/>
    </border>
    <border>
      <left style="medium">
        <color rgb="FFC4C7C5"/>
      </left>
      <right style="medium">
        <color rgb="FFC4C7C5"/>
      </right>
      <top style="medium">
        <color rgb="FFC4C7C5"/>
      </top>
      <bottom/>
      <diagonal/>
    </border>
    <border>
      <left style="medium">
        <color rgb="FFC4C7C5"/>
      </left>
      <right/>
      <top style="medium">
        <color rgb="FFC4C7C5"/>
      </top>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14" fontId="0" fillId="0" borderId="0" xfId="0" applyNumberFormat="1"/>
    <xf numFmtId="0" fontId="18" fillId="0" borderId="10" xfId="0" applyFont="1" applyBorder="1" applyAlignment="1">
      <alignment wrapText="1"/>
    </xf>
    <xf numFmtId="49" fontId="18" fillId="0" borderId="10" xfId="0" applyNumberFormat="1" applyFont="1" applyBorder="1" applyAlignment="1">
      <alignment wrapText="1"/>
    </xf>
    <xf numFmtId="14" fontId="18" fillId="0" borderId="11" xfId="0" applyNumberFormat="1" applyFont="1" applyBorder="1" applyAlignment="1">
      <alignment wrapText="1"/>
    </xf>
    <xf numFmtId="2" fontId="18" fillId="0" borderId="11" xfId="0" applyNumberFormat="1" applyFont="1" applyBorder="1" applyAlignment="1">
      <alignment wrapText="1"/>
    </xf>
    <xf numFmtId="49" fontId="0" fillId="0" borderId="0" xfId="0" applyNumberFormat="1"/>
    <xf numFmtId="164" fontId="0" fillId="0" borderId="0" xfId="0" applyNumberFormat="1"/>
    <xf numFmtId="2" fontId="0" fillId="0" borderId="0" xfId="0" applyNumberFormat="1"/>
    <xf numFmtId="10" fontId="0" fillId="0" borderId="0" xfId="0" applyNumberFormat="1"/>
    <xf numFmtId="2" fontId="0" fillId="0" borderId="0" xfId="1" applyNumberFormat="1" applyFont="1"/>
    <xf numFmtId="2" fontId="18" fillId="0" borderId="10" xfId="0" applyNumberFormat="1" applyFont="1" applyBorder="1" applyAlignment="1">
      <alignment wrapText="1"/>
    </xf>
    <xf numFmtId="0" fontId="0" fillId="0" borderId="0" xfId="0" pivotButton="1"/>
    <xf numFmtId="0" fontId="0" fillId="0" borderId="0" xfId="0" applyAlignment="1">
      <alignment horizontal="left"/>
    </xf>
    <xf numFmtId="0" fontId="21" fillId="0" borderId="0" xfId="0" applyFont="1"/>
    <xf numFmtId="0" fontId="21" fillId="0" borderId="0" xfId="0" applyFont="1" applyAlignment="1">
      <alignment vertical="center"/>
    </xf>
    <xf numFmtId="0" fontId="0" fillId="0" borderId="0" xfId="0" applyAlignment="1">
      <alignment vertical="center"/>
    </xf>
    <xf numFmtId="165" fontId="0" fillId="0" borderId="0" xfId="0" applyNumberFormat="1"/>
    <xf numFmtId="6" fontId="0" fillId="0" borderId="0" xfId="0" applyNumberFormat="1"/>
    <xf numFmtId="0" fontId="20" fillId="0" borderId="12" xfId="0" applyFont="1" applyBorder="1" applyAlignment="1">
      <alignment horizontal="left" vertical="center" wrapText="1" indent="1"/>
    </xf>
    <xf numFmtId="10" fontId="20" fillId="0" borderId="12" xfId="0" applyNumberFormat="1" applyFont="1" applyBorder="1" applyAlignment="1">
      <alignment horizontal="left" vertical="center" wrapText="1" indent="1"/>
    </xf>
    <xf numFmtId="0" fontId="21" fillId="0" borderId="13" xfId="0" applyFont="1" applyBorder="1" applyAlignment="1">
      <alignment horizontal="left" vertical="center" wrapText="1" indent="1"/>
    </xf>
    <xf numFmtId="0" fontId="20" fillId="0" borderId="14" xfId="0" applyFont="1" applyBorder="1" applyAlignment="1">
      <alignment horizontal="left" vertical="center" wrapText="1" indent="1"/>
    </xf>
    <xf numFmtId="0" fontId="21" fillId="0" borderId="15" xfId="0" applyFont="1" applyBorder="1" applyAlignment="1">
      <alignment horizontal="left" vertical="center" wrapText="1" indent="1"/>
    </xf>
    <xf numFmtId="0" fontId="21" fillId="0" borderId="16" xfId="0" applyFont="1" applyBorder="1" applyAlignment="1">
      <alignment horizontal="left" vertical="center" wrapText="1" indent="1"/>
    </xf>
    <xf numFmtId="0" fontId="21" fillId="0" borderId="17" xfId="0" applyFont="1" applyBorder="1" applyAlignment="1">
      <alignment horizontal="left" vertical="center" wrapText="1" indent="1"/>
    </xf>
    <xf numFmtId="0" fontId="21" fillId="0" borderId="18" xfId="0" applyFont="1" applyBorder="1" applyAlignment="1">
      <alignment horizontal="left" vertical="center" wrapText="1" indent="1"/>
    </xf>
    <xf numFmtId="0" fontId="20" fillId="0" borderId="19" xfId="0" applyFont="1" applyBorder="1" applyAlignment="1">
      <alignment horizontal="left" vertical="center" wrapText="1" indent="1"/>
    </xf>
    <xf numFmtId="10" fontId="20" fillId="0" borderId="19" xfId="0" applyNumberFormat="1" applyFont="1" applyBorder="1" applyAlignment="1">
      <alignment horizontal="left" vertical="center" wrapText="1" indent="1"/>
    </xf>
    <xf numFmtId="0" fontId="20" fillId="0" borderId="20" xfId="0" applyFont="1" applyBorder="1" applyAlignment="1">
      <alignment horizontal="left" vertical="center" wrapText="1" indent="1"/>
    </xf>
    <xf numFmtId="0" fontId="22" fillId="33" borderId="0" xfId="0" applyFont="1" applyFill="1" applyAlignment="1">
      <alignment horizontal="center" vertical="center"/>
    </xf>
    <xf numFmtId="0" fontId="24" fillId="0" borderId="0" xfId="0" applyFont="1" applyAlignment="1">
      <alignment horizontal="center"/>
    </xf>
    <xf numFmtId="0" fontId="0" fillId="0" borderId="0" xfId="0"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4" formatCode="0.00%"/>
    </dxf>
    <dxf>
      <numFmt numFmtId="14" formatCode="0.00%"/>
    </dxf>
    <dxf>
      <font>
        <b val="0"/>
        <i val="0"/>
        <strike val="0"/>
        <condense val="0"/>
        <extend val="0"/>
        <outline val="0"/>
        <shadow val="0"/>
        <u val="none"/>
        <vertAlign val="baseline"/>
        <sz val="11"/>
        <color theme="1"/>
        <name val="Arial"/>
        <family val="2"/>
        <scheme val="none"/>
      </font>
      <alignment horizontal="left" vertical="center" textRotation="0" wrapText="1" indent="1" justifyLastLine="0" shrinkToFit="0" readingOrder="0"/>
      <border diagonalUp="0" diagonalDown="0">
        <left style="medium">
          <color rgb="FFC4C7C5"/>
        </left>
        <right/>
        <top style="medium">
          <color rgb="FFC4C7C5"/>
        </top>
        <bottom style="medium">
          <color rgb="FFC4C7C5"/>
        </bottom>
        <vertical/>
        <horizontal/>
      </border>
    </dxf>
    <dxf>
      <font>
        <b val="0"/>
        <i val="0"/>
        <strike val="0"/>
        <condense val="0"/>
        <extend val="0"/>
        <outline val="0"/>
        <shadow val="0"/>
        <u val="none"/>
        <vertAlign val="baseline"/>
        <sz val="11"/>
        <color theme="1"/>
        <name val="Arial"/>
        <family val="2"/>
        <scheme val="none"/>
      </font>
      <numFmt numFmtId="14" formatCode="0.00%"/>
      <alignment horizontal="left" vertical="center" textRotation="0" wrapText="1" indent="1" justifyLastLine="0" shrinkToFit="0" readingOrder="0"/>
      <border diagonalUp="0" diagonalDown="0">
        <left style="medium">
          <color rgb="FFC4C7C5"/>
        </left>
        <right style="medium">
          <color rgb="FFC4C7C5"/>
        </right>
        <top style="medium">
          <color rgb="FFC4C7C5"/>
        </top>
        <bottom style="medium">
          <color rgb="FFC4C7C5"/>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1" indent="1" justifyLastLine="0" shrinkToFit="0" readingOrder="0"/>
      <border diagonalUp="0" diagonalDown="0">
        <left style="medium">
          <color rgb="FFC4C7C5"/>
        </left>
        <right style="medium">
          <color rgb="FFC4C7C5"/>
        </right>
        <top style="medium">
          <color rgb="FFC4C7C5"/>
        </top>
        <bottom style="medium">
          <color rgb="FFC4C7C5"/>
        </bottom>
        <vertical/>
        <horizontal/>
      </border>
    </dxf>
    <dxf>
      <font>
        <b/>
        <i val="0"/>
        <strike val="0"/>
        <condense val="0"/>
        <extend val="0"/>
        <outline val="0"/>
        <shadow val="0"/>
        <u val="none"/>
        <vertAlign val="baseline"/>
        <sz val="11"/>
        <color theme="1"/>
        <name val="Arial"/>
        <family val="2"/>
        <scheme val="none"/>
      </font>
      <alignment horizontal="left" vertical="center" textRotation="0" wrapText="1" indent="1" justifyLastLine="0" shrinkToFit="0" readingOrder="0"/>
      <border diagonalUp="0" diagonalDown="0">
        <left/>
        <right style="medium">
          <color rgb="FFC4C7C5"/>
        </right>
        <top style="medium">
          <color rgb="FFC4C7C5"/>
        </top>
        <bottom style="medium">
          <color rgb="FFC4C7C5"/>
        </bottom>
        <vertical/>
        <horizontal/>
      </border>
    </dxf>
    <dxf>
      <border outline="0">
        <top style="medium">
          <color rgb="FFC4C7C5"/>
        </top>
      </border>
    </dxf>
    <dxf>
      <border outline="0">
        <left style="medium">
          <color rgb="FFC4C7C5"/>
        </left>
        <right style="medium">
          <color rgb="FFC4C7C5"/>
        </right>
        <top style="medium">
          <color rgb="FFC4C7C5"/>
        </top>
        <bottom style="medium">
          <color rgb="FFC4C7C5"/>
        </bottom>
      </border>
    </dxf>
    <dxf>
      <border outline="0">
        <bottom style="medium">
          <color rgb="FFC4C7C5"/>
        </bottom>
      </border>
    </dxf>
    <dxf>
      <font>
        <b/>
        <i val="0"/>
        <strike val="0"/>
        <condense val="0"/>
        <extend val="0"/>
        <outline val="0"/>
        <shadow val="0"/>
        <u val="none"/>
        <vertAlign val="baseline"/>
        <sz val="11"/>
        <color theme="1"/>
        <name val="Arial"/>
        <family val="2"/>
        <scheme val="none"/>
      </font>
      <alignment horizontal="left" vertical="center" textRotation="0" wrapText="1" indent="1" justifyLastLine="0" shrinkToFit="0" readingOrder="0"/>
      <border diagonalUp="0" diagonalDown="0" outline="0">
        <left style="medium">
          <color rgb="FFC4C7C5"/>
        </left>
        <right style="medium">
          <color rgb="FFC4C7C5"/>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[SIM012_Analytical_Workbook.xlsx]Pivot_Analysis!PivotTable5</c:name>
    <c:fmtId val="5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Pivot_Analysis!$J$15</c:f>
              <c:strCache>
                <c:ptCount val="1"/>
                <c:pt idx="0">
                  <c:v>Sum of Campaign Spend</c:v>
                </c:pt>
              </c:strCache>
            </c:strRef>
          </c:tx>
          <c:spPr>
            <a:solidFill>
              <a:schemeClr val="accent1"/>
            </a:solidFill>
            <a:ln>
              <a:noFill/>
            </a:ln>
            <a:effectLst/>
          </c:spPr>
          <c:invertIfNegative val="0"/>
          <c:cat>
            <c:strRef>
              <c:f>Pivot_Analysis!$I$16:$I$23</c:f>
              <c:strCache>
                <c:ptCount val="7"/>
                <c:pt idx="0">
                  <c:v>Computer Accessories</c:v>
                </c:pt>
                <c:pt idx="1">
                  <c:v>Mobile Accessories</c:v>
                </c:pt>
                <c:pt idx="2">
                  <c:v>Personal Electronics</c:v>
                </c:pt>
                <c:pt idx="3">
                  <c:v>Smart Accessories</c:v>
                </c:pt>
                <c:pt idx="4">
                  <c:v>Smart Home</c:v>
                </c:pt>
                <c:pt idx="5">
                  <c:v>Wearables</c:v>
                </c:pt>
                <c:pt idx="6">
                  <c:v>Wireless Audio</c:v>
                </c:pt>
              </c:strCache>
            </c:strRef>
          </c:cat>
          <c:val>
            <c:numRef>
              <c:f>Pivot_Analysis!$J$16:$J$23</c:f>
              <c:numCache>
                <c:formatCode>"₹"#,##0_);[Red]\("₹"#,##0\)</c:formatCode>
                <c:ptCount val="7"/>
                <c:pt idx="0">
                  <c:v>27810090</c:v>
                </c:pt>
                <c:pt idx="1">
                  <c:v>40648516</c:v>
                </c:pt>
                <c:pt idx="2">
                  <c:v>22351087</c:v>
                </c:pt>
                <c:pt idx="3">
                  <c:v>29503956</c:v>
                </c:pt>
                <c:pt idx="4">
                  <c:v>22252762</c:v>
                </c:pt>
                <c:pt idx="5">
                  <c:v>19179993</c:v>
                </c:pt>
                <c:pt idx="6">
                  <c:v>24229198</c:v>
                </c:pt>
              </c:numCache>
            </c:numRef>
          </c:val>
          <c:extLst>
            <c:ext xmlns:c16="http://schemas.microsoft.com/office/drawing/2014/chart" uri="{C3380CC4-5D6E-409C-BE32-E72D297353CC}">
              <c16:uniqueId val="{00000000-2E60-453B-8699-F1F9DA655B5F}"/>
            </c:ext>
          </c:extLst>
        </c:ser>
        <c:ser>
          <c:idx val="1"/>
          <c:order val="1"/>
          <c:tx>
            <c:strRef>
              <c:f>Pivot_Analysis!$K$15</c:f>
              <c:strCache>
                <c:ptCount val="1"/>
                <c:pt idx="0">
                  <c:v>Sum of ROAS</c:v>
                </c:pt>
              </c:strCache>
            </c:strRef>
          </c:tx>
          <c:spPr>
            <a:solidFill>
              <a:schemeClr val="accent2"/>
            </a:solidFill>
            <a:ln>
              <a:noFill/>
            </a:ln>
            <a:effectLst/>
          </c:spPr>
          <c:invertIfNegative val="0"/>
          <c:cat>
            <c:strRef>
              <c:f>Pivot_Analysis!$I$16:$I$23</c:f>
              <c:strCache>
                <c:ptCount val="7"/>
                <c:pt idx="0">
                  <c:v>Computer Accessories</c:v>
                </c:pt>
                <c:pt idx="1">
                  <c:v>Mobile Accessories</c:v>
                </c:pt>
                <c:pt idx="2">
                  <c:v>Personal Electronics</c:v>
                </c:pt>
                <c:pt idx="3">
                  <c:v>Smart Accessories</c:v>
                </c:pt>
                <c:pt idx="4">
                  <c:v>Smart Home</c:v>
                </c:pt>
                <c:pt idx="5">
                  <c:v>Wearables</c:v>
                </c:pt>
                <c:pt idx="6">
                  <c:v>Wireless Audio</c:v>
                </c:pt>
              </c:strCache>
            </c:strRef>
          </c:cat>
          <c:val>
            <c:numRef>
              <c:f>Pivot_Analysis!$K$16:$K$23</c:f>
              <c:numCache>
                <c:formatCode>General</c:formatCode>
                <c:ptCount val="7"/>
                <c:pt idx="0">
                  <c:v>1006.3256289659905</c:v>
                </c:pt>
                <c:pt idx="1">
                  <c:v>1182.3121604688429</c:v>
                </c:pt>
                <c:pt idx="2">
                  <c:v>983.87183813343302</c:v>
                </c:pt>
                <c:pt idx="3">
                  <c:v>1040.6595545696575</c:v>
                </c:pt>
                <c:pt idx="4">
                  <c:v>674.3780963631051</c:v>
                </c:pt>
                <c:pt idx="5">
                  <c:v>673.08689879311498</c:v>
                </c:pt>
                <c:pt idx="6">
                  <c:v>865.90870836824831</c:v>
                </c:pt>
              </c:numCache>
            </c:numRef>
          </c:val>
          <c:extLst>
            <c:ext xmlns:c16="http://schemas.microsoft.com/office/drawing/2014/chart" uri="{C3380CC4-5D6E-409C-BE32-E72D297353CC}">
              <c16:uniqueId val="{00000001-2E60-453B-8699-F1F9DA655B5F}"/>
            </c:ext>
          </c:extLst>
        </c:ser>
        <c:dLbls>
          <c:showLegendKey val="0"/>
          <c:showVal val="0"/>
          <c:showCatName val="0"/>
          <c:showSerName val="0"/>
          <c:showPercent val="0"/>
          <c:showBubbleSize val="0"/>
        </c:dLbls>
        <c:gapWidth val="219"/>
        <c:overlap val="-27"/>
        <c:axId val="589276864"/>
        <c:axId val="587264720"/>
      </c:barChart>
      <c:catAx>
        <c:axId val="58927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264720"/>
        <c:crosses val="autoZero"/>
        <c:auto val="1"/>
        <c:lblAlgn val="ctr"/>
        <c:lblOffset val="100"/>
        <c:noMultiLvlLbl val="0"/>
      </c:catAx>
      <c:valAx>
        <c:axId val="587264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27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[SIM012_Analytical_Workbook.xlsx]Pivot_Analysis!PivotTable2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Sum of Net Sales</c:v>
                </c:pt>
              </c:strCache>
            </c:strRef>
          </c:tx>
          <c:spPr>
            <a:solidFill>
              <a:schemeClr val="accent1"/>
            </a:solidFill>
            <a:ln>
              <a:noFill/>
            </a:ln>
            <a:effectLst/>
          </c:spPr>
          <c:invertIfNegative val="0"/>
          <c:cat>
            <c:strRef>
              <c:f>Pivot_Analysis!$A$4:$A$11</c:f>
              <c:strCache>
                <c:ptCount val="7"/>
                <c:pt idx="0">
                  <c:v>Computer Accessories</c:v>
                </c:pt>
                <c:pt idx="1">
                  <c:v>Mobile Accessories</c:v>
                </c:pt>
                <c:pt idx="2">
                  <c:v>Personal Electronics</c:v>
                </c:pt>
                <c:pt idx="3">
                  <c:v>Smart Accessories</c:v>
                </c:pt>
                <c:pt idx="4">
                  <c:v>Smart Home</c:v>
                </c:pt>
                <c:pt idx="5">
                  <c:v>Wearables</c:v>
                </c:pt>
                <c:pt idx="6">
                  <c:v>Wireless Audio</c:v>
                </c:pt>
              </c:strCache>
            </c:strRef>
          </c:cat>
          <c:val>
            <c:numRef>
              <c:f>Pivot_Analysis!$B$4:$B$11</c:f>
              <c:numCache>
                <c:formatCode>"₹"\ #,##0;[Red]"₹"\ #,##0</c:formatCode>
                <c:ptCount val="7"/>
                <c:pt idx="0">
                  <c:v>74826270</c:v>
                </c:pt>
                <c:pt idx="1">
                  <c:v>218141220</c:v>
                </c:pt>
                <c:pt idx="2">
                  <c:v>59941269</c:v>
                </c:pt>
                <c:pt idx="3">
                  <c:v>102944760</c:v>
                </c:pt>
                <c:pt idx="4">
                  <c:v>57457846</c:v>
                </c:pt>
                <c:pt idx="5">
                  <c:v>41967597</c:v>
                </c:pt>
                <c:pt idx="6">
                  <c:v>304425761</c:v>
                </c:pt>
              </c:numCache>
            </c:numRef>
          </c:val>
          <c:extLst>
            <c:ext xmlns:c16="http://schemas.microsoft.com/office/drawing/2014/chart" uri="{C3380CC4-5D6E-409C-BE32-E72D297353CC}">
              <c16:uniqueId val="{00000000-663C-44F4-A9AE-CFDD51CAB7D5}"/>
            </c:ext>
          </c:extLst>
        </c:ser>
        <c:dLbls>
          <c:showLegendKey val="0"/>
          <c:showVal val="0"/>
          <c:showCatName val="0"/>
          <c:showSerName val="0"/>
          <c:showPercent val="0"/>
          <c:showBubbleSize val="0"/>
        </c:dLbls>
        <c:gapWidth val="219"/>
        <c:overlap val="-27"/>
        <c:axId val="996426480"/>
        <c:axId val="1037771120"/>
      </c:barChart>
      <c:lineChart>
        <c:grouping val="standard"/>
        <c:varyColors val="0"/>
        <c:ser>
          <c:idx val="1"/>
          <c:order val="1"/>
          <c:tx>
            <c:strRef>
              <c:f>Pivot_Analysis!$C$3</c:f>
              <c:strCache>
                <c:ptCount val="1"/>
                <c:pt idx="0">
                  <c:v>Average of Return Rate %</c:v>
                </c:pt>
              </c:strCache>
            </c:strRef>
          </c:tx>
          <c:spPr>
            <a:ln w="28575" cap="rnd">
              <a:solidFill>
                <a:schemeClr val="accent2"/>
              </a:solidFill>
              <a:round/>
            </a:ln>
            <a:effectLst/>
          </c:spPr>
          <c:marker>
            <c:symbol val="none"/>
          </c:marker>
          <c:cat>
            <c:strRef>
              <c:f>Pivot_Analysis!$A$4:$A$11</c:f>
              <c:strCache>
                <c:ptCount val="7"/>
                <c:pt idx="0">
                  <c:v>Computer Accessories</c:v>
                </c:pt>
                <c:pt idx="1">
                  <c:v>Mobile Accessories</c:v>
                </c:pt>
                <c:pt idx="2">
                  <c:v>Personal Electronics</c:v>
                </c:pt>
                <c:pt idx="3">
                  <c:v>Smart Accessories</c:v>
                </c:pt>
                <c:pt idx="4">
                  <c:v>Smart Home</c:v>
                </c:pt>
                <c:pt idx="5">
                  <c:v>Wearables</c:v>
                </c:pt>
                <c:pt idx="6">
                  <c:v>Wireless Audio</c:v>
                </c:pt>
              </c:strCache>
            </c:strRef>
          </c:cat>
          <c:val>
            <c:numRef>
              <c:f>Pivot_Analysis!$C$4:$C$11</c:f>
              <c:numCache>
                <c:formatCode>0.00%</c:formatCode>
                <c:ptCount val="7"/>
                <c:pt idx="0">
                  <c:v>7.3426416427756491E-2</c:v>
                </c:pt>
                <c:pt idx="1">
                  <c:v>8.1629680264944812E-2</c:v>
                </c:pt>
                <c:pt idx="2">
                  <c:v>7.1536211764950286E-2</c:v>
                </c:pt>
                <c:pt idx="3">
                  <c:v>6.9584027644839327E-2</c:v>
                </c:pt>
                <c:pt idx="4">
                  <c:v>7.1416803655345557E-2</c:v>
                </c:pt>
                <c:pt idx="5">
                  <c:v>6.1357833486734563E-2</c:v>
                </c:pt>
                <c:pt idx="6">
                  <c:v>5.9447043350345119E-2</c:v>
                </c:pt>
              </c:numCache>
            </c:numRef>
          </c:val>
          <c:smooth val="0"/>
          <c:extLst>
            <c:ext xmlns:c16="http://schemas.microsoft.com/office/drawing/2014/chart" uri="{C3380CC4-5D6E-409C-BE32-E72D297353CC}">
              <c16:uniqueId val="{00000001-663C-44F4-A9AE-CFDD51CAB7D5}"/>
            </c:ext>
          </c:extLst>
        </c:ser>
        <c:ser>
          <c:idx val="2"/>
          <c:order val="2"/>
          <c:tx>
            <c:strRef>
              <c:f>Pivot_Analysis!$D$3</c:f>
              <c:strCache>
                <c:ptCount val="1"/>
                <c:pt idx="0">
                  <c:v>Average of Effective Margin %</c:v>
                </c:pt>
              </c:strCache>
            </c:strRef>
          </c:tx>
          <c:spPr>
            <a:ln w="28575" cap="rnd">
              <a:solidFill>
                <a:schemeClr val="accent3"/>
              </a:solidFill>
              <a:round/>
            </a:ln>
            <a:effectLst/>
          </c:spPr>
          <c:marker>
            <c:symbol val="none"/>
          </c:marker>
          <c:cat>
            <c:strRef>
              <c:f>Pivot_Analysis!$A$4:$A$11</c:f>
              <c:strCache>
                <c:ptCount val="7"/>
                <c:pt idx="0">
                  <c:v>Computer Accessories</c:v>
                </c:pt>
                <c:pt idx="1">
                  <c:v>Mobile Accessories</c:v>
                </c:pt>
                <c:pt idx="2">
                  <c:v>Personal Electronics</c:v>
                </c:pt>
                <c:pt idx="3">
                  <c:v>Smart Accessories</c:v>
                </c:pt>
                <c:pt idx="4">
                  <c:v>Smart Home</c:v>
                </c:pt>
                <c:pt idx="5">
                  <c:v>Wearables</c:v>
                </c:pt>
                <c:pt idx="6">
                  <c:v>Wireless Audio</c:v>
                </c:pt>
              </c:strCache>
            </c:strRef>
          </c:cat>
          <c:val>
            <c:numRef>
              <c:f>Pivot_Analysis!$D$4:$D$11</c:f>
              <c:numCache>
                <c:formatCode>0.00%</c:formatCode>
                <c:ptCount val="7"/>
                <c:pt idx="0">
                  <c:v>0.20864851184797692</c:v>
                </c:pt>
                <c:pt idx="1">
                  <c:v>0.21040096880767309</c:v>
                </c:pt>
                <c:pt idx="2">
                  <c:v>0.22487459997668982</c:v>
                </c:pt>
                <c:pt idx="3">
                  <c:v>0.22145224603448432</c:v>
                </c:pt>
                <c:pt idx="4">
                  <c:v>0.20683311811097324</c:v>
                </c:pt>
                <c:pt idx="5">
                  <c:v>0.18010218251169538</c:v>
                </c:pt>
                <c:pt idx="6">
                  <c:v>0.21648846008856509</c:v>
                </c:pt>
              </c:numCache>
            </c:numRef>
          </c:val>
          <c:smooth val="0"/>
          <c:extLst>
            <c:ext xmlns:c16="http://schemas.microsoft.com/office/drawing/2014/chart" uri="{C3380CC4-5D6E-409C-BE32-E72D297353CC}">
              <c16:uniqueId val="{00000002-663C-44F4-A9AE-CFDD51CAB7D5}"/>
            </c:ext>
          </c:extLst>
        </c:ser>
        <c:dLbls>
          <c:showLegendKey val="0"/>
          <c:showVal val="0"/>
          <c:showCatName val="0"/>
          <c:showSerName val="0"/>
          <c:showPercent val="0"/>
          <c:showBubbleSize val="0"/>
        </c:dLbls>
        <c:marker val="1"/>
        <c:smooth val="0"/>
        <c:axId val="996431120"/>
        <c:axId val="1037772560"/>
      </c:lineChart>
      <c:catAx>
        <c:axId val="99642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771120"/>
        <c:crosses val="autoZero"/>
        <c:auto val="1"/>
        <c:lblAlgn val="ctr"/>
        <c:lblOffset val="100"/>
        <c:noMultiLvlLbl val="0"/>
      </c:catAx>
      <c:valAx>
        <c:axId val="10377711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Red]&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26480"/>
        <c:crosses val="autoZero"/>
        <c:crossBetween val="between"/>
      </c:valAx>
      <c:valAx>
        <c:axId val="103777256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31120"/>
        <c:crosses val="max"/>
        <c:crossBetween val="between"/>
      </c:valAx>
      <c:catAx>
        <c:axId val="996431120"/>
        <c:scaling>
          <c:orientation val="minMax"/>
        </c:scaling>
        <c:delete val="1"/>
        <c:axPos val="b"/>
        <c:numFmt formatCode="General" sourceLinked="1"/>
        <c:majorTickMark val="out"/>
        <c:minorTickMark val="none"/>
        <c:tickLblPos val="nextTo"/>
        <c:crossAx val="10377725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297180</xdr:colOff>
      <xdr:row>4</xdr:row>
      <xdr:rowOff>0</xdr:rowOff>
    </xdr:from>
    <xdr:to>
      <xdr:col>6</xdr:col>
      <xdr:colOff>487680</xdr:colOff>
      <xdr:row>9</xdr:row>
      <xdr:rowOff>30480</xdr:rowOff>
    </xdr:to>
    <xdr:sp macro="" textlink="">
      <xdr:nvSpPr>
        <xdr:cNvPr id="2" name="Rectangle: Rounded Corners 1">
          <a:extLst>
            <a:ext uri="{FF2B5EF4-FFF2-40B4-BE49-F238E27FC236}">
              <a16:creationId xmlns:a16="http://schemas.microsoft.com/office/drawing/2014/main" id="{534175D7-40BC-6CD6-40B1-33018411A3C2}"/>
            </a:ext>
          </a:extLst>
        </xdr:cNvPr>
        <xdr:cNvSpPr/>
      </xdr:nvSpPr>
      <xdr:spPr>
        <a:xfrm>
          <a:off x="906780" y="731520"/>
          <a:ext cx="3238500" cy="944880"/>
        </a:xfrm>
        <a:prstGeom prst="roundRect">
          <a:avLst/>
        </a:prstGeom>
        <a:solidFill>
          <a:schemeClr val="accent3"/>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         TOTAL</a:t>
          </a:r>
          <a:r>
            <a:rPr lang="en-US" sz="2000" baseline="0"/>
            <a:t> NET SALES :</a:t>
          </a:r>
          <a:endParaRPr lang="en-US" sz="2000"/>
        </a:p>
      </xdr:txBody>
    </xdr:sp>
    <xdr:clientData/>
  </xdr:twoCellAnchor>
  <xdr:oneCellAnchor>
    <xdr:from>
      <xdr:col>2</xdr:col>
      <xdr:colOff>381000</xdr:colOff>
      <xdr:row>6</xdr:row>
      <xdr:rowOff>0</xdr:rowOff>
    </xdr:from>
    <xdr:ext cx="1729740" cy="624840"/>
    <xdr:sp macro="" textlink="Pivot_Analysis!B11">
      <xdr:nvSpPr>
        <xdr:cNvPr id="3" name="TextBox 2">
          <a:extLst>
            <a:ext uri="{FF2B5EF4-FFF2-40B4-BE49-F238E27FC236}">
              <a16:creationId xmlns:a16="http://schemas.microsoft.com/office/drawing/2014/main" id="{F807FF88-4935-27C8-D300-524E8C96BB3C}"/>
            </a:ext>
          </a:extLst>
        </xdr:cNvPr>
        <xdr:cNvSpPr txBox="1"/>
      </xdr:nvSpPr>
      <xdr:spPr>
        <a:xfrm>
          <a:off x="1600200" y="1097280"/>
          <a:ext cx="1729740" cy="624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CAFF7BA-41B4-4686-A7B9-3822FA5E2336}" type="TxLink">
            <a:rPr lang="en-US" sz="2000" b="0" i="0" u="none" strike="noStrike">
              <a:solidFill>
                <a:srgbClr val="000000"/>
              </a:solidFill>
              <a:latin typeface="Calibri"/>
              <a:ea typeface="Calibri"/>
              <a:cs typeface="Calibri"/>
            </a:rPr>
            <a:pPr/>
            <a:t>₹ 85,97,04,723</a:t>
          </a:fld>
          <a:endParaRPr lang="en-US" sz="2000"/>
        </a:p>
      </xdr:txBody>
    </xdr:sp>
    <xdr:clientData/>
  </xdr:oneCellAnchor>
  <xdr:twoCellAnchor>
    <xdr:from>
      <xdr:col>7</xdr:col>
      <xdr:colOff>1233055</xdr:colOff>
      <xdr:row>3</xdr:row>
      <xdr:rowOff>152400</xdr:rowOff>
    </xdr:from>
    <xdr:to>
      <xdr:col>13</xdr:col>
      <xdr:colOff>213360</xdr:colOff>
      <xdr:row>9</xdr:row>
      <xdr:rowOff>0</xdr:rowOff>
    </xdr:to>
    <xdr:sp macro="" textlink="">
      <xdr:nvSpPr>
        <xdr:cNvPr id="4" name="Rectangle: Rounded Corners 3">
          <a:extLst>
            <a:ext uri="{FF2B5EF4-FFF2-40B4-BE49-F238E27FC236}">
              <a16:creationId xmlns:a16="http://schemas.microsoft.com/office/drawing/2014/main" id="{B643DDAA-A0B2-4DBF-97DA-9C47731674EB}"/>
            </a:ext>
          </a:extLst>
        </xdr:cNvPr>
        <xdr:cNvSpPr/>
      </xdr:nvSpPr>
      <xdr:spPr>
        <a:xfrm>
          <a:off x="5500255" y="692727"/>
          <a:ext cx="6614160" cy="928255"/>
        </a:xfrm>
        <a:prstGeom prst="roundRect">
          <a:avLst/>
        </a:prstGeom>
        <a:solidFill>
          <a:schemeClr val="accent3"/>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        </a:t>
          </a:r>
          <a:r>
            <a:rPr lang="en-US" sz="2000" baseline="0"/>
            <a:t>                           </a:t>
          </a:r>
          <a:r>
            <a:rPr lang="en-US" sz="2000"/>
            <a:t>AVERAGE</a:t>
          </a:r>
          <a:r>
            <a:rPr lang="en-US" sz="2000" baseline="0"/>
            <a:t> MARGIN :</a:t>
          </a:r>
        </a:p>
        <a:p>
          <a:pPr algn="l"/>
          <a:r>
            <a:rPr lang="en-US" sz="2000"/>
            <a:t>  </a:t>
          </a:r>
        </a:p>
      </xdr:txBody>
    </xdr:sp>
    <xdr:clientData/>
  </xdr:twoCellAnchor>
  <xdr:oneCellAnchor>
    <xdr:from>
      <xdr:col>9</xdr:col>
      <xdr:colOff>741219</xdr:colOff>
      <xdr:row>6</xdr:row>
      <xdr:rowOff>22860</xdr:rowOff>
    </xdr:from>
    <xdr:ext cx="1729740" cy="624840"/>
    <xdr:sp macro="" textlink="Pivot_Analysis!D11">
      <xdr:nvSpPr>
        <xdr:cNvPr id="5" name="TextBox 4">
          <a:extLst>
            <a:ext uri="{FF2B5EF4-FFF2-40B4-BE49-F238E27FC236}">
              <a16:creationId xmlns:a16="http://schemas.microsoft.com/office/drawing/2014/main" id="{6F4A4562-45C9-4441-801D-61551C5829EF}"/>
            </a:ext>
          </a:extLst>
        </xdr:cNvPr>
        <xdr:cNvSpPr txBox="1"/>
      </xdr:nvSpPr>
      <xdr:spPr>
        <a:xfrm>
          <a:off x="8194964" y="1103515"/>
          <a:ext cx="1729740" cy="624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9316A72-D71F-4996-A4CC-0E6753131A1D}" type="TxLink">
            <a:rPr lang="en-US" sz="2000" b="0" i="0" u="none" strike="noStrike">
              <a:solidFill>
                <a:srgbClr val="000000"/>
              </a:solidFill>
              <a:latin typeface="Calibri"/>
              <a:ea typeface="Calibri"/>
              <a:cs typeface="Calibri"/>
            </a:rPr>
            <a:pPr/>
            <a:t>21.10%</a:t>
          </a:fld>
          <a:endParaRPr lang="en-US" sz="2000"/>
        </a:p>
      </xdr:txBody>
    </xdr:sp>
    <xdr:clientData/>
  </xdr:oneCellAnchor>
  <xdr:twoCellAnchor>
    <xdr:from>
      <xdr:col>14</xdr:col>
      <xdr:colOff>289560</xdr:colOff>
      <xdr:row>3</xdr:row>
      <xdr:rowOff>175260</xdr:rowOff>
    </xdr:from>
    <xdr:to>
      <xdr:col>19</xdr:col>
      <xdr:colOff>480060</xdr:colOff>
      <xdr:row>9</xdr:row>
      <xdr:rowOff>22860</xdr:rowOff>
    </xdr:to>
    <xdr:sp macro="" textlink="">
      <xdr:nvSpPr>
        <xdr:cNvPr id="6" name="Rectangle: Rounded Corners 5">
          <a:extLst>
            <a:ext uri="{FF2B5EF4-FFF2-40B4-BE49-F238E27FC236}">
              <a16:creationId xmlns:a16="http://schemas.microsoft.com/office/drawing/2014/main" id="{F519A4F5-2DA1-4DD6-A408-0A4FB6C290FE}"/>
            </a:ext>
          </a:extLst>
        </xdr:cNvPr>
        <xdr:cNvSpPr/>
      </xdr:nvSpPr>
      <xdr:spPr>
        <a:xfrm>
          <a:off x="8823960" y="723900"/>
          <a:ext cx="3238500" cy="944880"/>
        </a:xfrm>
        <a:prstGeom prst="roundRect">
          <a:avLst/>
        </a:prstGeom>
        <a:solidFill>
          <a:schemeClr val="accent3"/>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      TOTAL</a:t>
          </a:r>
          <a:r>
            <a:rPr lang="en-US" sz="2000" baseline="0"/>
            <a:t> GROSS PROFIT :</a:t>
          </a:r>
        </a:p>
        <a:p>
          <a:pPr algn="l"/>
          <a:endParaRPr lang="en-US" sz="2000"/>
        </a:p>
      </xdr:txBody>
    </xdr:sp>
    <xdr:clientData/>
  </xdr:twoCellAnchor>
  <xdr:oneCellAnchor>
    <xdr:from>
      <xdr:col>15</xdr:col>
      <xdr:colOff>464820</xdr:colOff>
      <xdr:row>6</xdr:row>
      <xdr:rowOff>7620</xdr:rowOff>
    </xdr:from>
    <xdr:ext cx="1729740" cy="624840"/>
    <xdr:sp macro="" textlink="Pivot_Analysis!C26">
      <xdr:nvSpPr>
        <xdr:cNvPr id="7" name="TextBox 6">
          <a:extLst>
            <a:ext uri="{FF2B5EF4-FFF2-40B4-BE49-F238E27FC236}">
              <a16:creationId xmlns:a16="http://schemas.microsoft.com/office/drawing/2014/main" id="{D62B9DCA-4BB9-4800-9AEA-4CE10E641AA7}"/>
            </a:ext>
          </a:extLst>
        </xdr:cNvPr>
        <xdr:cNvSpPr txBox="1"/>
      </xdr:nvSpPr>
      <xdr:spPr>
        <a:xfrm>
          <a:off x="9608820" y="1104900"/>
          <a:ext cx="1729740" cy="624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BB5D34F-03FC-45C9-B288-49CE8B43392F}" type="TxLink">
            <a:rPr lang="en-US" sz="2000" b="0" i="0" u="none" strike="noStrike">
              <a:solidFill>
                <a:srgbClr val="000000"/>
              </a:solidFill>
              <a:latin typeface="Calibri"/>
              <a:ea typeface="Calibri"/>
              <a:cs typeface="Calibri"/>
            </a:rPr>
            <a:pPr/>
            <a:t>₹ 15,63,20,790</a:t>
          </a:fld>
          <a:endParaRPr lang="en-US" sz="2000"/>
        </a:p>
      </xdr:txBody>
    </xdr:sp>
    <xdr:clientData/>
  </xdr:oneCellAnchor>
  <xdr:twoCellAnchor>
    <xdr:from>
      <xdr:col>0</xdr:col>
      <xdr:colOff>362903</xdr:colOff>
      <xdr:row>11</xdr:row>
      <xdr:rowOff>45720</xdr:rowOff>
    </xdr:from>
    <xdr:to>
      <xdr:col>5</xdr:col>
      <xdr:colOff>553403</xdr:colOff>
      <xdr:row>16</xdr:row>
      <xdr:rowOff>76200</xdr:rowOff>
    </xdr:to>
    <xdr:sp macro="" textlink="">
      <xdr:nvSpPr>
        <xdr:cNvPr id="8" name="Rectangle: Rounded Corners 7">
          <a:extLst>
            <a:ext uri="{FF2B5EF4-FFF2-40B4-BE49-F238E27FC236}">
              <a16:creationId xmlns:a16="http://schemas.microsoft.com/office/drawing/2014/main" id="{EEBAFC14-43EE-49D1-9E6E-9500BEA5030A}"/>
            </a:ext>
          </a:extLst>
        </xdr:cNvPr>
        <xdr:cNvSpPr/>
      </xdr:nvSpPr>
      <xdr:spPr>
        <a:xfrm>
          <a:off x="362903" y="2141220"/>
          <a:ext cx="3286125" cy="982980"/>
        </a:xfrm>
        <a:prstGeom prst="roundRect">
          <a:avLst/>
        </a:prstGeom>
        <a:solidFill>
          <a:schemeClr val="accent5">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chemeClr val="accent1"/>
              </a:solidFill>
            </a:rPr>
            <a:t>    TOTAL REFUND PAYOUT</a:t>
          </a:r>
          <a:r>
            <a:rPr lang="en-US" sz="2000" baseline="0">
              <a:solidFill>
                <a:schemeClr val="accent1"/>
              </a:solidFill>
            </a:rPr>
            <a:t>:</a:t>
          </a:r>
          <a:endParaRPr lang="en-US" sz="2000">
            <a:solidFill>
              <a:schemeClr val="accent1"/>
            </a:solidFill>
          </a:endParaRPr>
        </a:p>
      </xdr:txBody>
    </xdr:sp>
    <xdr:clientData/>
  </xdr:twoCellAnchor>
  <xdr:twoCellAnchor>
    <xdr:from>
      <xdr:col>7</xdr:col>
      <xdr:colOff>500064</xdr:colOff>
      <xdr:row>11</xdr:row>
      <xdr:rowOff>30480</xdr:rowOff>
    </xdr:from>
    <xdr:to>
      <xdr:col>14</xdr:col>
      <xdr:colOff>1</xdr:colOff>
      <xdr:row>16</xdr:row>
      <xdr:rowOff>60960</xdr:rowOff>
    </xdr:to>
    <xdr:sp macro="" textlink="">
      <xdr:nvSpPr>
        <xdr:cNvPr id="9" name="Rectangle: Rounded Corners 8">
          <a:extLst>
            <a:ext uri="{FF2B5EF4-FFF2-40B4-BE49-F238E27FC236}">
              <a16:creationId xmlns:a16="http://schemas.microsoft.com/office/drawing/2014/main" id="{9198B242-9647-4C05-885D-85CF098D4C70}"/>
            </a:ext>
          </a:extLst>
        </xdr:cNvPr>
        <xdr:cNvSpPr/>
      </xdr:nvSpPr>
      <xdr:spPr>
        <a:xfrm>
          <a:off x="4833939" y="2125980"/>
          <a:ext cx="8001000" cy="982980"/>
        </a:xfrm>
        <a:prstGeom prst="roundRect">
          <a:avLst/>
        </a:prstGeom>
        <a:solidFill>
          <a:schemeClr val="accent5">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                                            </a:t>
          </a:r>
          <a:r>
            <a:rPr lang="en-US" sz="2000">
              <a:solidFill>
                <a:schemeClr val="accent1"/>
              </a:solidFill>
            </a:rPr>
            <a:t>AVERAGE RETURN RATE :</a:t>
          </a:r>
        </a:p>
      </xdr:txBody>
    </xdr:sp>
    <xdr:clientData/>
  </xdr:twoCellAnchor>
  <xdr:twoCellAnchor>
    <xdr:from>
      <xdr:col>15</xdr:col>
      <xdr:colOff>420053</xdr:colOff>
      <xdr:row>11</xdr:row>
      <xdr:rowOff>54293</xdr:rowOff>
    </xdr:from>
    <xdr:to>
      <xdr:col>20</xdr:col>
      <xdr:colOff>610553</xdr:colOff>
      <xdr:row>16</xdr:row>
      <xdr:rowOff>84773</xdr:rowOff>
    </xdr:to>
    <xdr:sp macro="" textlink="">
      <xdr:nvSpPr>
        <xdr:cNvPr id="11" name="Rectangle: Rounded Corners 10">
          <a:extLst>
            <a:ext uri="{FF2B5EF4-FFF2-40B4-BE49-F238E27FC236}">
              <a16:creationId xmlns:a16="http://schemas.microsoft.com/office/drawing/2014/main" id="{ED181DEC-3BE9-4B0D-96C7-6078E17CC568}"/>
            </a:ext>
          </a:extLst>
        </xdr:cNvPr>
        <xdr:cNvSpPr/>
      </xdr:nvSpPr>
      <xdr:spPr>
        <a:xfrm>
          <a:off x="13874116" y="2149793"/>
          <a:ext cx="3286125" cy="982980"/>
        </a:xfrm>
        <a:prstGeom prst="roundRect">
          <a:avLst/>
        </a:prstGeom>
        <a:solidFill>
          <a:schemeClr val="accent5">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000"/>
            <a:t> </a:t>
          </a:r>
          <a:r>
            <a:rPr lang="en-US" sz="2000" b="0">
              <a:solidFill>
                <a:schemeClr val="accent1"/>
              </a:solidFill>
            </a:rPr>
            <a:t>TOTAL</a:t>
          </a:r>
          <a:r>
            <a:rPr lang="en-US" sz="2000" b="1">
              <a:solidFill>
                <a:schemeClr val="accent1"/>
              </a:solidFill>
            </a:rPr>
            <a:t> </a:t>
          </a:r>
          <a:r>
            <a:rPr lang="en-US" sz="2000" b="0">
              <a:solidFill>
                <a:schemeClr val="accent1"/>
              </a:solidFill>
            </a:rPr>
            <a:t>MARKETING</a:t>
          </a:r>
          <a:r>
            <a:rPr lang="en-US" sz="2000" b="1">
              <a:solidFill>
                <a:schemeClr val="accent1"/>
              </a:solidFill>
            </a:rPr>
            <a:t> </a:t>
          </a:r>
          <a:r>
            <a:rPr lang="en-US" sz="2000" b="0">
              <a:solidFill>
                <a:schemeClr val="accent1"/>
              </a:solidFill>
            </a:rPr>
            <a:t>SPEND</a:t>
          </a:r>
          <a:r>
            <a:rPr lang="en-US" sz="2000" baseline="0">
              <a:solidFill>
                <a:schemeClr val="accent1"/>
              </a:solidFill>
            </a:rPr>
            <a:t>:</a:t>
          </a:r>
          <a:endParaRPr lang="en-US" sz="2000">
            <a:solidFill>
              <a:schemeClr val="accent1"/>
            </a:solidFill>
          </a:endParaRPr>
        </a:p>
      </xdr:txBody>
    </xdr:sp>
    <xdr:clientData/>
  </xdr:twoCellAnchor>
  <xdr:oneCellAnchor>
    <xdr:from>
      <xdr:col>1</xdr:col>
      <xdr:colOff>441960</xdr:colOff>
      <xdr:row>13</xdr:row>
      <xdr:rowOff>99060</xdr:rowOff>
    </xdr:from>
    <xdr:ext cx="1531620" cy="419100"/>
    <xdr:sp macro="" textlink="Pivot_Analysis!L4">
      <xdr:nvSpPr>
        <xdr:cNvPr id="12" name="TextBox 11">
          <a:extLst>
            <a:ext uri="{FF2B5EF4-FFF2-40B4-BE49-F238E27FC236}">
              <a16:creationId xmlns:a16="http://schemas.microsoft.com/office/drawing/2014/main" id="{79D1BD69-EF6D-40A6-B7E8-B29854B5957B}"/>
            </a:ext>
          </a:extLst>
        </xdr:cNvPr>
        <xdr:cNvSpPr txBox="1"/>
      </xdr:nvSpPr>
      <xdr:spPr>
        <a:xfrm>
          <a:off x="1051560" y="2476500"/>
          <a:ext cx="1531620" cy="41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527FC13-7482-42BA-A2C0-48B557D6A3EF}" type="TxLink">
            <a:rPr lang="en-US" sz="1800" b="0" i="0" u="none" strike="noStrike">
              <a:solidFill>
                <a:srgbClr val="000000"/>
              </a:solidFill>
              <a:latin typeface="Calibri"/>
              <a:ea typeface="Calibri"/>
              <a:cs typeface="Calibri"/>
            </a:rPr>
            <a:pPr/>
            <a:t>₹ 2,07,75,949</a:t>
          </a:fld>
          <a:endParaRPr lang="en-US" sz="1800"/>
        </a:p>
      </xdr:txBody>
    </xdr:sp>
    <xdr:clientData/>
  </xdr:oneCellAnchor>
  <xdr:oneCellAnchor>
    <xdr:from>
      <xdr:col>9</xdr:col>
      <xdr:colOff>796636</xdr:colOff>
      <xdr:row>13</xdr:row>
      <xdr:rowOff>53341</xdr:rowOff>
    </xdr:from>
    <xdr:ext cx="1729740" cy="624840"/>
    <xdr:sp macro="" textlink="Pivot_Analysis!C11">
      <xdr:nvSpPr>
        <xdr:cNvPr id="13" name="TextBox 12">
          <a:extLst>
            <a:ext uri="{FF2B5EF4-FFF2-40B4-BE49-F238E27FC236}">
              <a16:creationId xmlns:a16="http://schemas.microsoft.com/office/drawing/2014/main" id="{2F396C41-2549-43CE-B494-3762A8BBA746}"/>
            </a:ext>
          </a:extLst>
        </xdr:cNvPr>
        <xdr:cNvSpPr txBox="1"/>
      </xdr:nvSpPr>
      <xdr:spPr>
        <a:xfrm>
          <a:off x="8250381" y="2394759"/>
          <a:ext cx="1729740" cy="624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A2F35B6-FB57-49CA-9F0A-2078EA54C947}" type="TxLink">
            <a:rPr lang="en-US" sz="2000" b="0" i="0" u="none" strike="noStrike">
              <a:solidFill>
                <a:srgbClr val="000000"/>
              </a:solidFill>
              <a:latin typeface="Calibri"/>
              <a:ea typeface="Calibri"/>
              <a:cs typeface="Calibri"/>
            </a:rPr>
            <a:pPr/>
            <a:t>7.08%</a:t>
          </a:fld>
          <a:endParaRPr lang="en-US" sz="2000"/>
        </a:p>
      </xdr:txBody>
    </xdr:sp>
    <xdr:clientData/>
  </xdr:oneCellAnchor>
  <xdr:oneCellAnchor>
    <xdr:from>
      <xdr:col>16</xdr:col>
      <xdr:colOff>426720</xdr:colOff>
      <xdr:row>13</xdr:row>
      <xdr:rowOff>68580</xdr:rowOff>
    </xdr:from>
    <xdr:ext cx="1729740" cy="624840"/>
    <xdr:sp macro="" textlink="Pivot_Analysis!J23">
      <xdr:nvSpPr>
        <xdr:cNvPr id="14" name="TextBox 13">
          <a:extLst>
            <a:ext uri="{FF2B5EF4-FFF2-40B4-BE49-F238E27FC236}">
              <a16:creationId xmlns:a16="http://schemas.microsoft.com/office/drawing/2014/main" id="{387E24F9-DD4C-4655-AA02-770C2604BE49}"/>
            </a:ext>
          </a:extLst>
        </xdr:cNvPr>
        <xdr:cNvSpPr txBox="1"/>
      </xdr:nvSpPr>
      <xdr:spPr>
        <a:xfrm>
          <a:off x="10180320" y="2446020"/>
          <a:ext cx="1729740" cy="624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596E67C-00DC-442B-9ACD-9F716614ECC1}" type="TxLink">
            <a:rPr lang="en-US" sz="2000" b="0" i="0" u="none" strike="noStrike">
              <a:solidFill>
                <a:srgbClr val="000000"/>
              </a:solidFill>
              <a:latin typeface="Calibri"/>
              <a:ea typeface="Calibri"/>
              <a:cs typeface="Calibri"/>
            </a:rPr>
            <a:pPr/>
            <a:t>₹ 18,59,75,602</a:t>
          </a:fld>
          <a:endParaRPr lang="en-US" sz="2000"/>
        </a:p>
      </xdr:txBody>
    </xdr:sp>
    <xdr:clientData/>
  </xdr:oneCellAnchor>
  <xdr:twoCellAnchor>
    <xdr:from>
      <xdr:col>0</xdr:col>
      <xdr:colOff>508000</xdr:colOff>
      <xdr:row>38</xdr:row>
      <xdr:rowOff>63499</xdr:rowOff>
    </xdr:from>
    <xdr:to>
      <xdr:col>9</xdr:col>
      <xdr:colOff>1035170</xdr:colOff>
      <xdr:row>63</xdr:row>
      <xdr:rowOff>100641</xdr:rowOff>
    </xdr:to>
    <xdr:graphicFrame macro="">
      <xdr:nvGraphicFramePr>
        <xdr:cNvPr id="18" name="Chart 17">
          <a:extLst>
            <a:ext uri="{FF2B5EF4-FFF2-40B4-BE49-F238E27FC236}">
              <a16:creationId xmlns:a16="http://schemas.microsoft.com/office/drawing/2014/main" id="{B39A6656-3D59-4C4C-95BD-3D95E1A9A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747623</xdr:colOff>
      <xdr:row>37</xdr:row>
      <xdr:rowOff>184508</xdr:rowOff>
    </xdr:from>
    <xdr:to>
      <xdr:col>21</xdr:col>
      <xdr:colOff>258792</xdr:colOff>
      <xdr:row>63</xdr:row>
      <xdr:rowOff>115018</xdr:rowOff>
    </xdr:to>
    <xdr:graphicFrame macro="">
      <xdr:nvGraphicFramePr>
        <xdr:cNvPr id="21" name="Chart 20">
          <a:extLst>
            <a:ext uri="{FF2B5EF4-FFF2-40B4-BE49-F238E27FC236}">
              <a16:creationId xmlns:a16="http://schemas.microsoft.com/office/drawing/2014/main" id="{6C6B32D2-0FBE-457C-96AA-550D000E1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18586</xdr:colOff>
      <xdr:row>24</xdr:row>
      <xdr:rowOff>18585</xdr:rowOff>
    </xdr:from>
    <xdr:to>
      <xdr:col>4</xdr:col>
      <xdr:colOff>7435</xdr:colOff>
      <xdr:row>36</xdr:row>
      <xdr:rowOff>88048</xdr:rowOff>
    </xdr:to>
    <mc:AlternateContent xmlns:mc="http://schemas.openxmlformats.org/markup-compatibility/2006" xmlns:a14="http://schemas.microsoft.com/office/drawing/2010/main">
      <mc:Choice Requires="a14">
        <xdr:graphicFrame macro="">
          <xdr:nvGraphicFramePr>
            <xdr:cNvPr id="22" name="Product Archetype">
              <a:extLst>
                <a:ext uri="{FF2B5EF4-FFF2-40B4-BE49-F238E27FC236}">
                  <a16:creationId xmlns:a16="http://schemas.microsoft.com/office/drawing/2014/main" id="{35556204-43A4-4E11-8A20-6127729A87C8}"/>
                </a:ext>
              </a:extLst>
            </xdr:cNvPr>
            <xdr:cNvGraphicFramePr/>
          </xdr:nvGraphicFramePr>
          <xdr:xfrm>
            <a:off x="0" y="0"/>
            <a:ext cx="0" cy="0"/>
          </xdr:xfrm>
          <a:graphic>
            <a:graphicData uri="http://schemas.microsoft.com/office/drawing/2010/slicer">
              <sle:slicer xmlns:sle="http://schemas.microsoft.com/office/drawing/2010/slicer" name="Product Archetype"/>
            </a:graphicData>
          </a:graphic>
        </xdr:graphicFrame>
      </mc:Choice>
      <mc:Fallback xmlns="">
        <xdr:sp macro="" textlink="">
          <xdr:nvSpPr>
            <xdr:cNvPr id="0" name=""/>
            <xdr:cNvSpPr>
              <a:spLocks noTextEdit="1"/>
            </xdr:cNvSpPr>
          </xdr:nvSpPr>
          <xdr:spPr>
            <a:xfrm>
              <a:off x="621836" y="4939835"/>
              <a:ext cx="1798599" cy="2514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24</xdr:row>
      <xdr:rowOff>18585</xdr:rowOff>
    </xdr:from>
    <xdr:to>
      <xdr:col>20</xdr:col>
      <xdr:colOff>602166</xdr:colOff>
      <xdr:row>36</xdr:row>
      <xdr:rowOff>88048</xdr:rowOff>
    </xdr:to>
    <mc:AlternateContent xmlns:mc="http://schemas.openxmlformats.org/markup-compatibility/2006" xmlns:a14="http://schemas.microsoft.com/office/drawing/2010/main">
      <mc:Choice Requires="a14">
        <xdr:graphicFrame macro="">
          <xdr:nvGraphicFramePr>
            <xdr:cNvPr id="23" name="Category">
              <a:extLst>
                <a:ext uri="{FF2B5EF4-FFF2-40B4-BE49-F238E27FC236}">
                  <a16:creationId xmlns:a16="http://schemas.microsoft.com/office/drawing/2014/main" id="{E864F079-0CCC-47B3-8027-B86FD67CA23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128875" y="4939835"/>
              <a:ext cx="1808666" cy="2514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eth Kammari" refreshedDate="46290.440236574075" createdVersion="8" refreshedVersion="8" minRefreshableVersion="3" recordCount="500" xr:uid="{5A79D189-77CE-46A3-B4FD-DF87D2641A5C}">
  <cacheSource type="worksheet">
    <worksheetSource ref="A1:Y501" sheet="Calculations"/>
  </cacheSource>
  <cacheFields count="25">
    <cacheField name="Product ID" numFmtId="0">
      <sharedItems/>
    </cacheField>
    <cacheField name="Product Name" numFmtId="0">
      <sharedItems count="500">
        <s v="Nexora AirBeats Pro"/>
        <s v="Nexora PowerBank 20K"/>
        <s v="Nexora SmartTracker Tag"/>
        <s v="Nexora CableKit Pro"/>
        <s v="Nexora SoundBar Mini"/>
        <s v="Nexora Wireless 006"/>
        <s v="Nexora Wireless 007"/>
        <s v="Nexora Wireless 008"/>
        <s v="Nexora Wireless 009"/>
        <s v="Nexora Wireless 010"/>
        <s v="Nexora Wireless 011"/>
        <s v="Nexora Wireless 012"/>
        <s v="Nexora Wireless 013"/>
        <s v="Nexora Wireless 014"/>
        <s v="Nexora Wireless 015"/>
        <s v="Nexora Wireless 016"/>
        <s v="Nexora Wireless 017"/>
        <s v="Nexora Wireless 018"/>
        <s v="Nexora Wireless 019"/>
        <s v="Nexora Wireless 020"/>
        <s v="Nexora Wireless 021"/>
        <s v="Nexora Wireless 022"/>
        <s v="Nexora Wireless 023"/>
        <s v="Nexora Wireless 024"/>
        <s v="Nexora Wireless 025"/>
        <s v="Nexora Wireless 026"/>
        <s v="Nexora Wireless 027"/>
        <s v="Nexora Wireless 028"/>
        <s v="Nexora Wireless 029"/>
        <s v="Nexora Wireless 030"/>
        <s v="Nexora Wireless 031"/>
        <s v="Nexora Wireless 032"/>
        <s v="Nexora Wireless 033"/>
        <s v="Nexora Wireless 034"/>
        <s v="Nexora Wireless 035"/>
        <s v="Nexora Wireless 036"/>
        <s v="Nexora Wireless 037"/>
        <s v="Nexora Wireless 038"/>
        <s v="Nexora Wireless 039"/>
        <s v="Nexora Wireless 040"/>
        <s v="Nexora Wireless 041"/>
        <s v="Nexora Wireless 042"/>
        <s v="Nexora Wireless 043"/>
        <s v="Nexora Wireless 044"/>
        <s v="Nexora Wireless 045"/>
        <s v="Nexora Wireless 046"/>
        <s v="Nexora Wireless 047"/>
        <s v="Nexora Wireless 048"/>
        <s v="Nexora Wireless 049"/>
        <s v="Nexora Wireless 050"/>
        <s v="Nexora Wireless 051"/>
        <s v="Nexora Wireless 052"/>
        <s v="Nexora Wireless 053"/>
        <s v="Nexora Wireless 054"/>
        <s v="Nexora Wireless 055"/>
        <s v="Nexora Wireless 056"/>
        <s v="Nexora Wireless 057"/>
        <s v="Nexora Wireless 058"/>
        <s v="Nexora Wireless 059"/>
        <s v="Nexora Wireless 060"/>
        <s v="Nexora Wireless 061"/>
        <s v="Nexora Wireless 062"/>
        <s v="Nexora Wireless 063"/>
        <s v="Nexora Wireless 064"/>
        <s v="Nexora Wireless 065"/>
        <s v="Nexora Wireless 066"/>
        <s v="Nexora Wireless 067"/>
        <s v="Nexora Wireless 068"/>
        <s v="Nexora Wireless 069"/>
        <s v="Nexora Wireless 070"/>
        <s v="Nexora Wireless 071"/>
        <s v="Nexora Wireless 072"/>
        <s v="Nexora Wireless 073"/>
        <s v="Nexora Wireless 074"/>
        <s v="Nexora Smart 075"/>
        <s v="Nexora Smart 076"/>
        <s v="Nexora Smart 077"/>
        <s v="Nexora Smart 078"/>
        <s v="Nexora Smart 079"/>
        <s v="Nexora Smart 080"/>
        <s v="Nexora Smart 081"/>
        <s v="Nexora Smart 082"/>
        <s v="Nexora Smart 083"/>
        <s v="Nexora Smart 084"/>
        <s v="Nexora Smart 085"/>
        <s v="Nexora Smart 086"/>
        <s v="Nexora Smart 087"/>
        <s v="Nexora Smart 088"/>
        <s v="Nexora Smart 089"/>
        <s v="Nexora Smart 090"/>
        <s v="Nexora Smart 091"/>
        <s v="Nexora Smart 092"/>
        <s v="Nexora Smart 093"/>
        <s v="Nexora Smart 094"/>
        <s v="Nexora Smart 095"/>
        <s v="Nexora Smart 096"/>
        <s v="Nexora Smart 097"/>
        <s v="Nexora Smart 098"/>
        <s v="Nexora Smart 099"/>
        <s v="Nexora Smart 100"/>
        <s v="Nexora Smart 101"/>
        <s v="Nexora Smart 102"/>
        <s v="Nexora Smart 103"/>
        <s v="Nexora Smart 104"/>
        <s v="Nexora Smart 105"/>
        <s v="Nexora Smart 106"/>
        <s v="Nexora Smart 107"/>
        <s v="Nexora Smart 108"/>
        <s v="Nexora Smart 109"/>
        <s v="Nexora Smart 110"/>
        <s v="Nexora Smart 111"/>
        <s v="Nexora Smart 112"/>
        <s v="Nexora Smart 113"/>
        <s v="Nexora Smart 114"/>
        <s v="Nexora Smart 115"/>
        <s v="Nexora Smart 116"/>
        <s v="Nexora Smart 117"/>
        <s v="Nexora Smart 118"/>
        <s v="Nexora Smart 119"/>
        <s v="Nexora Smart 120"/>
        <s v="Nexora Smart 121"/>
        <s v="Nexora Smart 122"/>
        <s v="Nexora Smart 123"/>
        <s v="Nexora Smart 124"/>
        <s v="Nexora Smart 125"/>
        <s v="Nexora Smart 126"/>
        <s v="Nexora Smart 127"/>
        <s v="Nexora Smart 128"/>
        <s v="Nexora Smart 129"/>
        <s v="Nexora Smart 130"/>
        <s v="Nexora Smart 131"/>
        <s v="Nexora Smart 132"/>
        <s v="Nexora Smart 133"/>
        <s v="Nexora Smart 134"/>
        <s v="Nexora Smart 135"/>
        <s v="Nexora Smart 136"/>
        <s v="Nexora Smart 137"/>
        <s v="Nexora Smart 138"/>
        <s v="Nexora Smart 139"/>
        <s v="Nexora Smart 140"/>
        <s v="Nexora Smart 141"/>
        <s v="Nexora Smart 142"/>
        <s v="Nexora Smart 143"/>
        <s v="Nexora Smart 144"/>
        <s v="Nexora Smart 145"/>
        <s v="Nexora Smart 146"/>
        <s v="Nexora Smart 147"/>
        <s v="Nexora Smart 148"/>
        <s v="Nexora Smart 149"/>
        <s v="Nexora Smart 150"/>
        <s v="Nexora Smart 151"/>
        <s v="Nexora Smart 152"/>
        <s v="Nexora Smart 153"/>
        <s v="Nexora Mobile 154"/>
        <s v="Nexora Mobile 155"/>
        <s v="Nexora Mobile 156"/>
        <s v="Nexora Mobile 157"/>
        <s v="Nexora Mobile 158"/>
        <s v="Nexora Mobile 159"/>
        <s v="Nexora Mobile 160"/>
        <s v="Nexora Mobile 161"/>
        <s v="Nexora Mobile 162"/>
        <s v="Nexora Mobile 163"/>
        <s v="Nexora Mobile 164"/>
        <s v="Nexora Mobile 165"/>
        <s v="Nexora Mobile 166"/>
        <s v="Nexora Mobile 167"/>
        <s v="Nexora Mobile 168"/>
        <s v="Nexora Mobile 169"/>
        <s v="Nexora Mobile 170"/>
        <s v="Nexora Mobile 171"/>
        <s v="Nexora Mobile 172"/>
        <s v="Nexora Mobile 173"/>
        <s v="Nexora Mobile 174"/>
        <s v="Nexora Mobile 175"/>
        <s v="Nexora Mobile 176"/>
        <s v="Nexora Mobile 177"/>
        <s v="Nexora Mobile 178"/>
        <s v="Nexora Mobile 179"/>
        <s v="Nexora Mobile 180"/>
        <s v="Nexora Mobile 181"/>
        <s v="Nexora Mobile 182"/>
        <s v="Nexora Mobile 183"/>
        <s v="Nexora Mobile 184"/>
        <s v="Nexora Mobile 185"/>
        <s v="Nexora Mobile 186"/>
        <s v="Nexora Mobile 187"/>
        <s v="Nexora Mobile 188"/>
        <s v="Nexora Mobile 189"/>
        <s v="Nexora Mobile 190"/>
        <s v="Nexora Mobile 191"/>
        <s v="Nexora Mobile 192"/>
        <s v="Nexora Mobile 193"/>
        <s v="Nexora Mobile 194"/>
        <s v="Nexora Mobile 195"/>
        <s v="Nexora Mobile 196"/>
        <s v="Nexora Mobile 197"/>
        <s v="Nexora Mobile 198"/>
        <s v="Nexora Mobile 199"/>
        <s v="Nexora Mobile 200"/>
        <s v="Nexora Mobile 201"/>
        <s v="Nexora Mobile 202"/>
        <s v="Nexora Mobile 203"/>
        <s v="Nexora Mobile 204"/>
        <s v="Nexora Mobile 205"/>
        <s v="Nexora Mobile 206"/>
        <s v="Nexora Mobile 207"/>
        <s v="Nexora Mobile 208"/>
        <s v="Nexora Mobile 209"/>
        <s v="Nexora Mobile 210"/>
        <s v="Nexora Mobile 211"/>
        <s v="Nexora Mobile 212"/>
        <s v="Nexora Mobile 213"/>
        <s v="Nexora Mobile 214"/>
        <s v="Nexora Mobile 215"/>
        <s v="Nexora Mobile 216"/>
        <s v="Nexora Mobile 217"/>
        <s v="Nexora Mobile 218"/>
        <s v="Nexora Mobile 219"/>
        <s v="Nexora Mobile 220"/>
        <s v="Nexora Mobile 221"/>
        <s v="Nexora Mobile 222"/>
        <s v="Nexora Mobile 223"/>
        <s v="Nexora Mobile 224"/>
        <s v="Nexora Mobile 225"/>
        <s v="Nexora Mobile 226"/>
        <s v="Nexora Mobile 227"/>
        <s v="Nexora Mobile 228"/>
        <s v="Nexora Mobile 229"/>
        <s v="Nexora Mobile 230"/>
        <s v="Nexora Mobile 231"/>
        <s v="Nexora Mobile 232"/>
        <s v="Nexora Mobile 233"/>
        <s v="Nexora Mobile 234"/>
        <s v="Nexora Mobile 235"/>
        <s v="Nexora Mobile 236"/>
        <s v="Nexora Mobile 237"/>
        <s v="Nexora Mobile 238"/>
        <s v="Nexora Mobile 239"/>
        <s v="Nexora Mobile 240"/>
        <s v="Nexora Mobile 241"/>
        <s v="Nexora Mobile 242"/>
        <s v="Nexora Mobile 243"/>
        <s v="Nexora Mobile 244"/>
        <s v="Nexora Mobile 245"/>
        <s v="Nexora Mobile 246"/>
        <s v="Nexora Mobile 247"/>
        <s v="Nexora Mobile 248"/>
        <s v="Nexora Mobile 249"/>
        <s v="Nexora Mobile 250"/>
        <s v="Nexora Mobile 251"/>
        <s v="Nexora Smart 252"/>
        <s v="Nexora Smart 253"/>
        <s v="Nexora Smart 254"/>
        <s v="Nexora Smart 255"/>
        <s v="Nexora Smart 256"/>
        <s v="Nexora Smart 257"/>
        <s v="Nexora Smart 258"/>
        <s v="Nexora Smart 259"/>
        <s v="Nexora Smart 260"/>
        <s v="Nexora Smart 261"/>
        <s v="Nexora Smart 262"/>
        <s v="Nexora Smart 263"/>
        <s v="Nexora Smart 264"/>
        <s v="Nexora Smart 265"/>
        <s v="Nexora Smart 266"/>
        <s v="Nexora Smart 267"/>
        <s v="Nexora Smart 268"/>
        <s v="Nexora Smart 269"/>
        <s v="Nexora Smart 270"/>
        <s v="Nexora Smart 271"/>
        <s v="NEXORA SMART 272"/>
        <s v="Nexora Smart 273"/>
        <s v="Nexora Smart 274"/>
        <s v="Nexora Smart 275"/>
        <s v="Nexora Smart 276"/>
        <s v="Nexora Smart 277"/>
        <s v="Nexora Smart 278"/>
        <s v="Nexora Smart 279"/>
        <s v="Nexora Smart 280"/>
        <s v="Nexora Smart 281"/>
        <s v="Nexora Smart 282"/>
        <s v="Nexora Smart 283"/>
        <s v="Nexora Smart 284"/>
        <s v="Nexora Smart 285"/>
        <s v="Nexora Smart 286"/>
        <s v="Nexora Smart 287"/>
        <s v="Nexora Smart 288"/>
        <s v="Nexora Smart 289"/>
        <s v="Nexora Smart 290"/>
        <s v="Nexora Smart 291"/>
        <s v="Nexora Smart 292"/>
        <s v="Nexora Smart 293"/>
        <s v="Nexora Smart 294"/>
        <s v="Nexora Smart 295"/>
        <s v="Nexora Smart 296"/>
        <s v="Nexora Smart 297"/>
        <s v="Nexora Smart 298"/>
        <s v="Nexora Smart 299"/>
        <s v="Nexora Smart 300"/>
        <s v="Nexora Smart 301"/>
        <s v="Nexora Smart 302"/>
        <s v="Nexora Smart 303"/>
        <s v="Nexora Smart 304"/>
        <s v="Nexora Smart 305"/>
        <s v="Nexora Smart 306"/>
        <s v="Nexora Smart 307"/>
        <s v="Nexora Smart 308"/>
        <s v="Nexora Smart 309"/>
        <s v="Nexora Smart 310"/>
        <s v="Nexora Computer 311"/>
        <s v="Nexora Computer 312"/>
        <s v="Nexora Computer 313"/>
        <s v="Nexora Computer 314"/>
        <s v="Nexora Computer 315"/>
        <s v="Nexora Computer 316"/>
        <s v="Nexora Computer 317"/>
        <s v="Nexora Computer 318"/>
        <s v="Nexora Computer 319"/>
        <s v="Nexora Computer 320"/>
        <s v="Nexora Computer 321"/>
        <s v="Nexora Computer 322"/>
        <s v="Nexora Computer 323"/>
        <s v="Nexora Computer 324"/>
        <s v="NEXORA COMPUTER 325"/>
        <s v="Nexora Computer 326"/>
        <s v="Nexora Computer 327"/>
        <s v="Nexora Computer 328"/>
        <s v="Nexora Computer 329"/>
        <s v="Nexora Computer 330"/>
        <s v="Nexora Computer 331"/>
        <s v="Nexora Computer 332"/>
        <s v="Nexora Computer 333"/>
        <s v="Nexora Computer 334"/>
        <s v="Nexora Computer 335"/>
        <s v="Nexora Computer 336"/>
        <s v="Nexora Computer 337"/>
        <s v="Nexora Computer 338"/>
        <s v="Nexora Computer 339"/>
        <s v="Nexora Computer 340"/>
        <s v="Nexora Computer 341"/>
        <s v="Nexora Computer 342"/>
        <s v="Nexora Computer 343"/>
        <s v="Nexora Computer 344"/>
        <s v="Nexora Computer 345"/>
        <s v="Nexora Computer 346"/>
        <s v="Nexora Computer 347"/>
        <s v="Nexora Computer 348"/>
        <s v="Nexora Computer 349"/>
        <s v="NEXORA COMPUTER 350"/>
        <s v="Nexora Computer 351"/>
        <s v="NEXORA COMPUTER 352"/>
        <s v="Nexora Computer 353"/>
        <s v="Nexora Computer 354"/>
        <s v="Nexora Computer 355"/>
        <s v="Nexora Computer 356"/>
        <s v="Nexora Computer 357"/>
        <s v="Nexora Computer 358"/>
        <s v="Nexora Computer 359"/>
        <s v="Nexora Computer 360"/>
        <s v="Nexora Computer 361"/>
        <s v="Nexora Computer 362"/>
        <s v="NEXORA COMPUTER 363"/>
        <s v="Nexora Computer 364"/>
        <s v="Nexora Computer 365"/>
        <s v="Nexora Computer 366"/>
        <s v="Nexora Computer 367"/>
        <s v="Nexora Computer 368"/>
        <s v="Nexora Computer 369"/>
        <s v="Nexora Computer 370"/>
        <s v="Nexora Computer 371"/>
        <s v="Nexora Computer 372"/>
        <s v="Nexora Computer 373"/>
        <s v="Nexora Computer 374"/>
        <s v="Nexora Computer 375"/>
        <s v="Nexora Computer 376"/>
        <s v="Nexora Computer 377"/>
        <s v="Nexora Computer 378"/>
        <s v="Nexora Computer 379"/>
        <s v="Nexora Computer 380"/>
        <s v="Nexora Computer 381"/>
        <s v="Nexora Computer 382"/>
        <s v="Nexora Computer 383"/>
        <s v="Nexora Computer 384"/>
        <s v="Nexora Computer 385"/>
        <s v="Nexora Computer 386"/>
        <s v="Nexora Computer 387"/>
        <s v="Nexora Computer 388"/>
        <s v="Nexora Computer 389"/>
        <s v="Nexora Computer 390"/>
        <s v="Nexora Personal 391"/>
        <s v="Nexora Personal 392"/>
        <s v="Nexora Personal 393"/>
        <s v="Nexora Personal 394"/>
        <s v="Nexora Personal 395"/>
        <s v="Nexora Personal 396"/>
        <s v="Nexora Personal 397"/>
        <s v="Nexora Personal 398"/>
        <s v="Nexora Personal 399"/>
        <s v="Nexora Personal 400"/>
        <s v="NEXORA PERSONAL 401"/>
        <s v="Nexora Personal 402"/>
        <s v="Nexora Personal 403"/>
        <s v="Nexora Personal 404"/>
        <s v="Nexora Personal 405"/>
        <s v="Nexora Personal 406"/>
        <s v="Nexora Personal 407"/>
        <s v="Nexora Personal 408"/>
        <s v="NEXORA PERSONAL 409"/>
        <s v="Nexora Personal 410"/>
        <s v="Nexora Personal 411"/>
        <s v="Nexora Personal 412"/>
        <s v="Nexora Personal 413"/>
        <s v="Nexora Personal 414"/>
        <s v="Nexora Personal 415"/>
        <s v="Nexora Personal 416"/>
        <s v="Nexora Personal 417"/>
        <s v="Nexora Personal 418"/>
        <s v="Nexora Personal 419"/>
        <s v="Nexora Personal 420"/>
        <s v="Nexora Personal 421"/>
        <s v="Nexora Personal 422"/>
        <s v="Nexora Personal 423"/>
        <s v="Nexora Personal 424"/>
        <s v="Nexora Personal 425"/>
        <s v="Nexora Personal 426"/>
        <s v="Nexora Personal 427"/>
        <s v="Nexora Personal 428"/>
        <s v="Nexora Personal 429"/>
        <s v="Nexora Personal 430"/>
        <s v="Nexora Personal 431"/>
        <s v="Nexora Personal 432"/>
        <s v="Nexora Personal 433"/>
        <s v="Nexora Personal 434"/>
        <s v="Nexora Personal 435"/>
        <s v="Nexora Personal 436"/>
        <s v="Nexora Personal 437"/>
        <s v="Nexora Personal 438"/>
        <s v="Nexora Personal 439"/>
        <s v="Nexora Personal 440"/>
        <s v="Nexora Personal 441"/>
        <s v="Nexora Personal 442"/>
        <s v="Nexora Personal 443"/>
        <s v="Nexora Personal 444"/>
        <s v="Nexora Personal 445"/>
        <s v="Nexora Personal 446"/>
        <s v="Nexora Personal 447"/>
        <s v="Nexora Personal 448"/>
        <s v="Nexora Personal 449"/>
        <s v="Nexora Personal 450"/>
        <s v="Nexora Wearables 451"/>
        <s v="Nexora Wearables 452"/>
        <s v="Nexora Wearables 453"/>
        <s v="Nexora Wearables 454"/>
        <s v="Nexora Wearables 455"/>
        <s v="Nexora Wearables 456"/>
        <s v="Nexora Wearables 457"/>
        <s v="Nexora Wearables 458"/>
        <s v="Nexora Wearables 459"/>
        <s v="Nexora Wearables 460"/>
        <s v="Nexora Wearables 461"/>
        <s v="Nexora Wearables 462"/>
        <s v="Nexora Wearables 463"/>
        <s v="Nexora Wearables 464"/>
        <s v="Nexora Wearables 465"/>
        <s v="Nexora Wearables 466"/>
        <s v="Nexora Wearables 467"/>
        <s v="Nexora Wearables 468"/>
        <s v="Nexora Wearables 469"/>
        <s v="Nexora Wearables 470"/>
        <s v="Nexora Wearables 471"/>
        <s v="Nexora Wearables 472"/>
        <s v="Nexora Wearables 473"/>
        <s v="Nexora Wearables 474"/>
        <s v="Nexora Wearables 475"/>
        <s v="Nexora Wearables 476"/>
        <s v="Nexora Wearables 477"/>
        <s v="Nexora Wearables 478"/>
        <s v="Nexora Wearables 479"/>
        <s v="Nexora Wearables 480"/>
        <s v="Nexora Wearables 481"/>
        <s v="Nexora Wearables 482"/>
        <s v="Nexora Wearables 483"/>
        <s v="Nexora Wearables 484"/>
        <s v="Nexora Wearables 485"/>
        <s v="Nexora Wearables 486"/>
        <s v="Nexora Wearables 487"/>
        <s v="Nexora Wearables 488"/>
        <s v="Nexora Wearables 489"/>
        <s v="Nexora Wearables 490"/>
        <s v="Nexora Wearables 491"/>
        <s v="Nexora Wearables 492"/>
        <s v="Nexora Wearables 493"/>
        <s v="Nexora Wearables 494"/>
        <s v="Nexora Wearables 495"/>
        <s v="Nexora Wearables 496"/>
        <s v="Nexora Wearables 497"/>
        <s v="Nexora Wearables 498"/>
        <s v="Nexora Wearables 499"/>
        <s v="Nexora Wearables 500"/>
      </sharedItems>
    </cacheField>
    <cacheField name="Category" numFmtId="0">
      <sharedItems count="7">
        <s v="Wireless Audio"/>
        <s v="Mobile Accessories"/>
        <s v="Smart Accessories"/>
        <s v="Smart Home"/>
        <s v="Computer Accessories"/>
        <s v="Personal Electronics"/>
        <s v="Wearables"/>
      </sharedItems>
    </cacheField>
    <cacheField name="Launch Date" numFmtId="14">
      <sharedItems containsSemiMixedTypes="0" containsNonDate="0" containsDate="1" containsString="0" minDate="2022-10-06T00:00:00" maxDate="2025-02-11T00:00:00"/>
    </cacheField>
    <cacheField name="Days Since Launch" numFmtId="0">
      <sharedItems containsSemiMixedTypes="0" containsString="0" containsNumber="1" containsInteger="1" minValue="49" maxValue="907"/>
    </cacheField>
    <cacheField name="Maturity Status" numFmtId="0">
      <sharedItems/>
    </cacheField>
    <cacheField name="Selling Price" numFmtId="0">
      <sharedItems containsSemiMixedTypes="0" containsString="0" containsNumber="1" containsInteger="1" minValue="370" maxValue="19973"/>
    </cacheField>
    <cacheField name="Unit Cost" numFmtId="0">
      <sharedItems containsSemiMixedTypes="0" containsString="0" containsNumber="1" containsInteger="1" minValue="230" maxValue="17212"/>
    </cacheField>
    <cacheField name="Total Orders" numFmtId="0">
      <sharedItems containsSemiMixedTypes="0" containsString="0" containsNumber="1" containsInteger="1" minValue="22" maxValue="85000"/>
    </cacheField>
    <cacheField name="Total Units Sold" numFmtId="0">
      <sharedItems containsSemiMixedTypes="0" containsString="0" containsNumber="1" containsInteger="1" minValue="30" maxValue="127598"/>
    </cacheField>
    <cacheField name="Gross Sales" numFmtId="0">
      <sharedItems containsSemiMixedTypes="0" containsString="0" containsNumber="1" containsInteger="1" minValue="139978" maxValue="262757438"/>
    </cacheField>
    <cacheField name="Discount Amount" numFmtId="0">
      <sharedItems containsSemiMixedTypes="0" containsString="0" containsNumber="1" containsInteger="1" minValue="14674" maxValue="66880664"/>
    </cacheField>
    <cacheField name="Net Sales" numFmtId="0">
      <sharedItems containsSemiMixedTypes="0" containsString="0" containsNumber="1" containsInteger="1" minValue="118557" maxValue="243053632"/>
    </cacheField>
    <cacheField name="Total Cost" numFmtId="0">
      <sharedItems containsSemiMixedTypes="0" containsString="0" containsNumber="1" containsInteger="1" minValue="64798" maxValue="176085240"/>
    </cacheField>
    <cacheField name="Gross Profit" numFmtId="0">
      <sharedItems containsSemiMixedTypes="0" containsString="0" containsNumber="1" containsInteger="1" minValue="-51696502" maxValue="98560694"/>
    </cacheField>
    <cacheField name="Effective Margin %" numFmtId="0">
      <sharedItems containsSemiMixedTypes="0" containsString="0" containsNumber="1" minValue="-0.41560436122440603" maxValue="0.50297855013785198"/>
    </cacheField>
    <cacheField name="Returned Orders" numFmtId="0">
      <sharedItems containsSemiMixedTypes="0" containsString="0" containsNumber="1" containsInteger="1" minValue="0" maxValue="15401"/>
    </cacheField>
    <cacheField name="Total Refund Amount" numFmtId="0">
      <sharedItems containsSemiMixedTypes="0" containsString="0" containsNumber="1" containsInteger="1" minValue="0" maxValue="20775949"/>
    </cacheField>
    <cacheField name="Return Rate %" numFmtId="0">
      <sharedItems containsSemiMixedTypes="0" containsString="0" containsNumber="1" minValue="0" maxValue="0.23076923076923078"/>
    </cacheField>
    <cacheField name="Total Reviews" numFmtId="0">
      <sharedItems containsSemiMixedTypes="0" containsString="0" containsNumber="1" containsInteger="1" minValue="6" maxValue="33757"/>
    </cacheField>
    <cacheField name="Average Rating" numFmtId="0">
      <sharedItems containsSemiMixedTypes="0" containsString="0" containsNumber="1" minValue="2.63" maxValue="4.76"/>
    </cacheField>
    <cacheField name="Campaign Spend" numFmtId="0">
      <sharedItems containsSemiMixedTypes="0" containsString="0" containsNumber="1" containsInteger="1" minValue="20394" maxValue="2499992"/>
    </cacheField>
    <cacheField name="Attributed Revenue" numFmtId="0">
      <sharedItems containsSemiMixedTypes="0" containsString="0" containsNumber="1" containsInteger="1" minValue="16846" maxValue="19382525"/>
    </cacheField>
    <cacheField name="ROAS" numFmtId="0">
      <sharedItems containsSemiMixedTypes="0" containsString="0" containsNumber="1" minValue="9.4163811269920239E-2" maxValue="85.345447950671016"/>
    </cacheField>
    <cacheField name="Product Archetype" numFmtId="0">
      <sharedItems count="5">
        <s v="Star"/>
        <s v="Revenue Trap"/>
        <s v="Weak Product"/>
        <s v="Immature Product"/>
        <s v="Hidden Opportunity"/>
      </sharedItems>
    </cacheField>
  </cacheFields>
  <extLst>
    <ext xmlns:x14="http://schemas.microsoft.com/office/spreadsheetml/2009/9/main" uri="{725AE2AE-9491-48be-B2B4-4EB974FC3084}">
      <x14:pivotCacheDefinition pivotCacheId="12521559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PRD-001"/>
    <x v="0"/>
    <x v="0"/>
    <d v="2023-04-01T00:00:00"/>
    <n v="730"/>
    <s v="Mature"/>
    <n v="4999"/>
    <n v="2749"/>
    <n v="35000"/>
    <n v="52562"/>
    <n v="262757438"/>
    <n v="19703806"/>
    <n v="243053632"/>
    <n v="144492938"/>
    <n v="98560694"/>
    <n v="0.40551006454410854"/>
    <n v="715"/>
    <n v="3216785"/>
    <n v="2.0428571428571428E-2"/>
    <n v="13949"/>
    <n v="4.66"/>
    <n v="799992"/>
    <n v="7587293"/>
    <n v="9.4842110921109217"/>
    <x v="0"/>
  </r>
  <r>
    <s v="PRD-002"/>
    <x v="1"/>
    <x v="1"/>
    <d v="2023-06-01T00:00:00"/>
    <n v="669"/>
    <s v="Mature"/>
    <n v="1499"/>
    <n v="1380"/>
    <n v="85000"/>
    <n v="127598"/>
    <n v="191269402"/>
    <n v="66880664"/>
    <n v="124388738"/>
    <n v="176085240"/>
    <n v="-51696502"/>
    <n v="-0.41560436122440603"/>
    <n v="15401"/>
    <n v="20775949"/>
    <n v="0.18118823529411765"/>
    <n v="33757"/>
    <n v="3.2"/>
    <n v="2499992"/>
    <n v="3821487"/>
    <n v="1.5285996915190128"/>
    <x v="1"/>
  </r>
  <r>
    <s v="PRD-003"/>
    <x v="2"/>
    <x v="2"/>
    <d v="2023-08-01T00:00:00"/>
    <n v="608"/>
    <s v="Mature"/>
    <n v="2499"/>
    <n v="1199"/>
    <n v="7000"/>
    <n v="10540"/>
    <n v="26339460"/>
    <n v="1319021"/>
    <n v="25020439"/>
    <n v="12637460"/>
    <n v="12382979"/>
    <n v="0.49491453767058202"/>
    <n v="212"/>
    <n v="476788"/>
    <n v="3.0285714285714287E-2"/>
    <n v="2846"/>
    <n v="4.5599999999999996"/>
    <n v="40000"/>
    <n v="169845"/>
    <n v="4.2461250000000001"/>
    <x v="0"/>
  </r>
  <r>
    <s v="PRD-004"/>
    <x v="3"/>
    <x v="1"/>
    <d v="2023-07-01T00:00:00"/>
    <n v="639"/>
    <s v="Mature"/>
    <n v="799"/>
    <n v="739"/>
    <n v="4000"/>
    <n v="5930"/>
    <n v="4738070"/>
    <n v="610530"/>
    <n v="4127540"/>
    <n v="4382270"/>
    <n v="-254730"/>
    <n v="-6.1714725962679948E-2"/>
    <n v="899"/>
    <n v="646381"/>
    <n v="0.22475000000000001"/>
    <n v="1629"/>
    <n v="2.8"/>
    <n v="350000"/>
    <n v="183914"/>
    <n v="0.5254685714285714"/>
    <x v="2"/>
  </r>
  <r>
    <s v="PRD-005"/>
    <x v="4"/>
    <x v="3"/>
    <d v="2025-02-10T00:00:00"/>
    <n v="49"/>
    <s v="Immature"/>
    <n v="7999"/>
    <n v="4200"/>
    <n v="150"/>
    <n v="229"/>
    <n v="1831771"/>
    <n v="48826"/>
    <n v="1782945"/>
    <n v="961800"/>
    <n v="821145"/>
    <n v="0.46055542935985128"/>
    <n v="5"/>
    <n v="35995"/>
    <n v="3.3333333333333333E-2"/>
    <n v="50"/>
    <n v="4.26"/>
    <n v="60000"/>
    <n v="316098"/>
    <n v="5.2683"/>
    <x v="3"/>
  </r>
  <r>
    <s v="PRD-006"/>
    <x v="5"/>
    <x v="0"/>
    <d v="2023-07-09T00:00:00"/>
    <n v="631"/>
    <s v="Mature"/>
    <n v="3947"/>
    <n v="3507"/>
    <n v="183"/>
    <n v="266"/>
    <n v="1049902"/>
    <n v="138052"/>
    <n v="911850"/>
    <n v="932862"/>
    <n v="-21012"/>
    <n v="-2.3043263694686626E-2"/>
    <n v="10"/>
    <n v="35520"/>
    <n v="5.4644808743169397E-2"/>
    <n v="78"/>
    <n v="2.74"/>
    <n v="476667"/>
    <n v="1668577"/>
    <n v="3.5005087409029785"/>
    <x v="2"/>
  </r>
  <r>
    <s v="PRD-007"/>
    <x v="6"/>
    <x v="0"/>
    <d v="2022-10-31T00:00:00"/>
    <n v="882"/>
    <s v="Mature"/>
    <n v="19648"/>
    <n v="13952"/>
    <n v="56"/>
    <n v="81"/>
    <n v="1591488"/>
    <n v="223711"/>
    <n v="1367777"/>
    <n v="1130112"/>
    <n v="237665"/>
    <n v="0.17376005006664097"/>
    <n v="4"/>
    <n v="70732"/>
    <n v="7.1428571428571425E-2"/>
    <n v="22"/>
    <n v="3.57"/>
    <n v="156744"/>
    <n v="1524033"/>
    <n v="9.7230707395498399"/>
    <x v="2"/>
  </r>
  <r>
    <s v="PRD-008"/>
    <x v="7"/>
    <x v="0"/>
    <d v="2024-05-26T00:00:00"/>
    <n v="309"/>
    <s v="Mature"/>
    <n v="14045"/>
    <n v="11247"/>
    <n v="60"/>
    <n v="90"/>
    <n v="1264050"/>
    <n v="177493"/>
    <n v="1086557"/>
    <n v="1012230"/>
    <n v="74327"/>
    <n v="6.8405983303222936E-2"/>
    <n v="1"/>
    <n v="12640"/>
    <n v="1.6666666666666666E-2"/>
    <n v="22"/>
    <n v="3.34"/>
    <n v="327696"/>
    <n v="7540053"/>
    <n v="23.009292148820858"/>
    <x v="2"/>
  </r>
  <r>
    <s v="PRD-009"/>
    <x v="8"/>
    <x v="0"/>
    <d v="2024-11-20T00:00:00"/>
    <n v="131"/>
    <s v="Mature"/>
    <n v="9404"/>
    <n v="7805"/>
    <n v="72"/>
    <n v="108"/>
    <n v="1015632"/>
    <n v="170823"/>
    <n v="844809"/>
    <n v="842940"/>
    <n v="1869"/>
    <n v="2.2123343856421986E-3"/>
    <n v="0"/>
    <n v="0"/>
    <n v="0"/>
    <n v="30"/>
    <n v="3.2"/>
    <n v="537298"/>
    <n v="7761809"/>
    <n v="14.446003893556275"/>
    <x v="2"/>
  </r>
  <r>
    <s v="PRD-010"/>
    <x v="9"/>
    <x v="0"/>
    <d v="2023-10-23T00:00:00"/>
    <n v="525"/>
    <s v="Mature"/>
    <n v="15353"/>
    <n v="10112"/>
    <n v="75"/>
    <n v="109"/>
    <n v="1673477"/>
    <n v="242107"/>
    <n v="1431370"/>
    <n v="1102208"/>
    <n v="329162"/>
    <n v="0.22996290267366229"/>
    <n v="6"/>
    <n v="82902"/>
    <n v="0.08"/>
    <n v="29"/>
    <n v="3.86"/>
    <n v="185696"/>
    <n v="3276269"/>
    <n v="17.643185636739616"/>
    <x v="2"/>
  </r>
  <r>
    <s v="PRD-011"/>
    <x v="10"/>
    <x v="0"/>
    <d v="2024-11-30T00:00:00"/>
    <n v="121"/>
    <s v="Mature"/>
    <n v="1800"/>
    <n v="1084"/>
    <n v="132"/>
    <n v="195"/>
    <n v="351000"/>
    <n v="59333"/>
    <n v="291667"/>
    <n v="211380"/>
    <n v="80287"/>
    <n v="0.27526939969211461"/>
    <n v="6"/>
    <n v="9720"/>
    <n v="4.5454545454545456E-2"/>
    <n v="58"/>
    <n v="4.04"/>
    <n v="183686"/>
    <n v="238670"/>
    <n v="1.2993369119040101"/>
    <x v="0"/>
  </r>
  <r>
    <s v="PRD-012"/>
    <x v="11"/>
    <x v="0"/>
    <d v="2023-09-29T00:00:00"/>
    <n v="549"/>
    <s v="Mature"/>
    <n v="12253"/>
    <n v="10130"/>
    <n v="44"/>
    <n v="68"/>
    <n v="833204"/>
    <n v="112962"/>
    <n v="720242"/>
    <n v="688840"/>
    <n v="31402"/>
    <n v="4.3599234701669716E-2"/>
    <n v="2"/>
    <n v="22054"/>
    <n v="4.5454545454545456E-2"/>
    <n v="21"/>
    <n v="2.98"/>
    <n v="258319"/>
    <n v="4999388"/>
    <n v="19.353543486928952"/>
    <x v="2"/>
  </r>
  <r>
    <s v="PRD-013"/>
    <x v="12"/>
    <x v="0"/>
    <d v="2023-03-17T00:00:00"/>
    <n v="745"/>
    <s v="Mature"/>
    <n v="17801"/>
    <n v="10180"/>
    <n v="27"/>
    <n v="42"/>
    <n v="747642"/>
    <n v="125928"/>
    <n v="621714"/>
    <n v="427560"/>
    <n v="194154"/>
    <n v="0.31228828689719068"/>
    <n v="2"/>
    <n v="32040"/>
    <n v="7.407407407407407E-2"/>
    <n v="10"/>
    <n v="4.4000000000000004"/>
    <n v="88296"/>
    <n v="1538469"/>
    <n v="17.423994291927155"/>
    <x v="4"/>
  </r>
  <r>
    <s v="PRD-014"/>
    <x v="13"/>
    <x v="0"/>
    <d v="2022-11-02T00:00:00"/>
    <n v="880"/>
    <s v="Mature"/>
    <n v="2131"/>
    <n v="1698"/>
    <n v="115"/>
    <n v="171"/>
    <n v="364401"/>
    <n v="62536"/>
    <n v="301865"/>
    <n v="290358"/>
    <n v="11507"/>
    <n v="3.8119689265068819E-2"/>
    <n v="4"/>
    <n v="7668"/>
    <n v="3.4782608695652174E-2"/>
    <n v="43"/>
    <n v="3.42"/>
    <n v="363757"/>
    <n v="858406"/>
    <n v="2.3598336251948417"/>
    <x v="2"/>
  </r>
  <r>
    <s v="PRD-015"/>
    <x v="14"/>
    <x v="0"/>
    <d v="2024-07-20T00:00:00"/>
    <n v="254"/>
    <s v="Mature"/>
    <n v="13263"/>
    <n v="6656"/>
    <n v="46"/>
    <n v="71"/>
    <n v="941673"/>
    <n v="155256"/>
    <n v="786417"/>
    <n v="472576"/>
    <n v="313841"/>
    <n v="0.39907707997156727"/>
    <n v="2"/>
    <n v="23872"/>
    <n v="4.3478260869565216E-2"/>
    <n v="24"/>
    <n v="4.29"/>
    <n v="400002"/>
    <n v="4793124"/>
    <n v="11.982750086249569"/>
    <x v="0"/>
  </r>
  <r>
    <s v="PRD-016"/>
    <x v="15"/>
    <x v="0"/>
    <d v="2023-11-13T00:00:00"/>
    <n v="504"/>
    <s v="Mature"/>
    <n v="14337"/>
    <n v="7110"/>
    <n v="25"/>
    <n v="34"/>
    <n v="487458"/>
    <n v="69455"/>
    <n v="418003"/>
    <n v="241740"/>
    <n v="176263"/>
    <n v="0.42167879177900636"/>
    <n v="1"/>
    <n v="12903"/>
    <n v="0.04"/>
    <n v="10"/>
    <n v="4.3"/>
    <n v="672573"/>
    <n v="8342599"/>
    <n v="12.404005215790702"/>
    <x v="0"/>
  </r>
  <r>
    <s v="PRD-017"/>
    <x v="16"/>
    <x v="0"/>
    <d v="2023-03-13T00:00:00"/>
    <n v="749"/>
    <s v="Mature"/>
    <n v="3891"/>
    <n v="3234"/>
    <n v="160"/>
    <n v="243"/>
    <n v="945513"/>
    <n v="111265"/>
    <n v="834248"/>
    <n v="785862"/>
    <n v="48386"/>
    <n v="5.7999539705219552E-2"/>
    <n v="15"/>
    <n v="52515"/>
    <n v="9.375E-2"/>
    <n v="65"/>
    <n v="3.21"/>
    <n v="645682"/>
    <n v="2385964"/>
    <n v="3.6952617542381545"/>
    <x v="2"/>
  </r>
  <r>
    <s v="PRD-018"/>
    <x v="17"/>
    <x v="0"/>
    <d v="2022-10-12T00:00:00"/>
    <n v="901"/>
    <s v="Mature"/>
    <n v="8537"/>
    <n v="3952"/>
    <n v="40"/>
    <n v="61"/>
    <n v="520757"/>
    <n v="68688"/>
    <n v="452069"/>
    <n v="241072"/>
    <n v="210997"/>
    <n v="0.46673627256016226"/>
    <n v="0"/>
    <n v="0"/>
    <n v="0"/>
    <n v="14"/>
    <n v="4.46"/>
    <n v="334325"/>
    <n v="3173992"/>
    <n v="9.4937321468630831"/>
    <x v="0"/>
  </r>
  <r>
    <s v="PRD-019"/>
    <x v="18"/>
    <x v="0"/>
    <d v="2023-03-11T00:00:00"/>
    <n v="751"/>
    <s v="Mature"/>
    <n v="3954"/>
    <n v="3036"/>
    <n v="137"/>
    <n v="199"/>
    <n v="786846"/>
    <n v="135225"/>
    <n v="651621"/>
    <n v="604164"/>
    <n v="47457"/>
    <n v="7.2829144548748434E-2"/>
    <n v="7"/>
    <n v="24906"/>
    <n v="5.1094890510948905E-2"/>
    <n v="63"/>
    <n v="3.52"/>
    <n v="601188"/>
    <n v="1458337"/>
    <n v="2.4257586645109348"/>
    <x v="2"/>
  </r>
  <r>
    <s v="PRD-020"/>
    <x v="19"/>
    <x v="0"/>
    <d v="2024-07-02T00:00:00"/>
    <n v="272"/>
    <s v="Mature"/>
    <n v="16934"/>
    <n v="8286"/>
    <n v="78"/>
    <n v="112"/>
    <n v="1896608"/>
    <n v="261163"/>
    <n v="1635445"/>
    <n v="928032"/>
    <n v="707413"/>
    <n v="0.43255077364264771"/>
    <n v="5"/>
    <n v="76200"/>
    <n v="6.4102564102564097E-2"/>
    <n v="28"/>
    <n v="4.55"/>
    <n v="346483"/>
    <n v="6619773"/>
    <n v="19.105621343615706"/>
    <x v="2"/>
  </r>
  <r>
    <s v="PRD-021"/>
    <x v="20"/>
    <x v="0"/>
    <d v="2024-03-27T00:00:00"/>
    <n v="369"/>
    <s v="Mature"/>
    <n v="17973"/>
    <n v="8463"/>
    <n v="39"/>
    <n v="56"/>
    <n v="1006488"/>
    <n v="147401"/>
    <n v="859087"/>
    <n v="473928"/>
    <n v="385159"/>
    <n v="0.44833526755730213"/>
    <n v="4"/>
    <n v="64700"/>
    <n v="0.10256410256410256"/>
    <n v="18"/>
    <n v="4.6399999999999997"/>
    <n v="279327"/>
    <n v="5711704"/>
    <n v="20.448091305172792"/>
    <x v="2"/>
  </r>
  <r>
    <s v="PRD-022"/>
    <x v="21"/>
    <x v="0"/>
    <d v="2024-05-03T00:00:00"/>
    <n v="332"/>
    <s v="Mature"/>
    <n v="8145"/>
    <n v="7118"/>
    <n v="52"/>
    <n v="81"/>
    <n v="659745"/>
    <n v="68608"/>
    <n v="591137"/>
    <n v="576558"/>
    <n v="14579"/>
    <n v="2.4662641654980149E-2"/>
    <n v="1"/>
    <n v="7330"/>
    <n v="1.9230769230769232E-2"/>
    <n v="26"/>
    <n v="3.25"/>
    <n v="101759"/>
    <n v="1068944"/>
    <n v="10.504662978213229"/>
    <x v="2"/>
  </r>
  <r>
    <s v="PRD-023"/>
    <x v="22"/>
    <x v="0"/>
    <d v="2024-01-30T00:00:00"/>
    <n v="426"/>
    <s v="Mature"/>
    <n v="4419"/>
    <n v="3721"/>
    <n v="151"/>
    <n v="227"/>
    <n v="1003113"/>
    <n v="173953"/>
    <n v="829160"/>
    <n v="844667"/>
    <n v="-15507"/>
    <n v="-1.8702059916059628E-2"/>
    <n v="21"/>
    <n v="83517"/>
    <n v="0.13907284768211919"/>
    <n v="63"/>
    <n v="2.89"/>
    <n v="81301"/>
    <n v="438138"/>
    <n v="5.3890850051044881"/>
    <x v="2"/>
  </r>
  <r>
    <s v="PRD-024"/>
    <x v="23"/>
    <x v="0"/>
    <d v="2024-09-06T00:00:00"/>
    <n v="206"/>
    <s v="Mature"/>
    <n v="17970"/>
    <n v="10065"/>
    <n v="88"/>
    <n v="130"/>
    <n v="2336100"/>
    <n v="376883"/>
    <n v="1959217"/>
    <n v="1308450"/>
    <n v="650767"/>
    <n v="0.33215667279326383"/>
    <n v="2"/>
    <n v="32346"/>
    <n v="2.2727272727272728E-2"/>
    <n v="38"/>
    <n v="4.25"/>
    <n v="238446"/>
    <n v="4276178"/>
    <n v="17.933527926658446"/>
    <x v="0"/>
  </r>
  <r>
    <s v="PRD-025"/>
    <x v="24"/>
    <x v="0"/>
    <d v="2023-05-19T00:00:00"/>
    <n v="682"/>
    <s v="Mature"/>
    <n v="15093"/>
    <n v="12761"/>
    <n v="68"/>
    <n v="106"/>
    <n v="1599858"/>
    <n v="288180"/>
    <n v="1311678"/>
    <n v="1352666"/>
    <n v="-40988"/>
    <n v="-3.1248522884427428E-2"/>
    <n v="7"/>
    <n v="95081"/>
    <n v="0.10294117647058823"/>
    <n v="19"/>
    <n v="3"/>
    <n v="144442"/>
    <n v="3389001"/>
    <n v="23.462711676659143"/>
    <x v="2"/>
  </r>
  <r>
    <s v="PRD-026"/>
    <x v="25"/>
    <x v="0"/>
    <d v="2022-11-02T00:00:00"/>
    <n v="880"/>
    <s v="Mature"/>
    <n v="2228"/>
    <n v="1775"/>
    <n v="79"/>
    <n v="122"/>
    <n v="271816"/>
    <n v="50119"/>
    <n v="221697"/>
    <n v="216550"/>
    <n v="5147"/>
    <n v="2.3216371894973772E-2"/>
    <n v="8"/>
    <n v="16040"/>
    <n v="0.10126582278481013"/>
    <n v="30"/>
    <n v="3.35"/>
    <n v="171571"/>
    <n v="954251"/>
    <n v="5.5618432019397215"/>
    <x v="2"/>
  </r>
  <r>
    <s v="PRD-027"/>
    <x v="26"/>
    <x v="0"/>
    <d v="2024-05-07T00:00:00"/>
    <n v="328"/>
    <s v="Mature"/>
    <n v="4634"/>
    <n v="2662"/>
    <n v="120"/>
    <n v="184"/>
    <n v="852656"/>
    <n v="85493"/>
    <n v="767163"/>
    <n v="489808"/>
    <n v="277355"/>
    <n v="0.36153333776524677"/>
    <n v="2"/>
    <n v="8340"/>
    <n v="1.6666666666666666E-2"/>
    <n v="43"/>
    <n v="4.3499999999999996"/>
    <n v="455966"/>
    <n v="1836361"/>
    <n v="4.0274077453143438"/>
    <x v="0"/>
  </r>
  <r>
    <s v="PRD-028"/>
    <x v="27"/>
    <x v="0"/>
    <d v="2023-11-25T00:00:00"/>
    <n v="492"/>
    <s v="Mature"/>
    <n v="14423"/>
    <n v="10681"/>
    <n v="65"/>
    <n v="100"/>
    <n v="1442300"/>
    <n v="192222"/>
    <n v="1250078"/>
    <n v="1068100"/>
    <n v="181978"/>
    <n v="0.14557331622506756"/>
    <n v="8"/>
    <n v="103840"/>
    <n v="0.12307692307692308"/>
    <n v="26"/>
    <n v="3.56"/>
    <n v="333152"/>
    <n v="4365183"/>
    <n v="13.102676856209778"/>
    <x v="2"/>
  </r>
  <r>
    <s v="PRD-029"/>
    <x v="28"/>
    <x v="0"/>
    <d v="2023-01-20T00:00:00"/>
    <n v="801"/>
    <s v="Mature"/>
    <n v="11417"/>
    <n v="6162"/>
    <n v="99"/>
    <n v="150"/>
    <n v="1712550"/>
    <n v="155995"/>
    <n v="1556555"/>
    <n v="924300"/>
    <n v="632255"/>
    <n v="0.40618866663882741"/>
    <n v="5"/>
    <n v="51375"/>
    <n v="5.0505050505050504E-2"/>
    <n v="45"/>
    <n v="4.21"/>
    <n v="274405"/>
    <n v="3340149"/>
    <n v="12.172332865654781"/>
    <x v="2"/>
  </r>
  <r>
    <s v="PRD-030"/>
    <x v="29"/>
    <x v="0"/>
    <d v="2022-12-17T00:00:00"/>
    <n v="835"/>
    <s v="Mature"/>
    <n v="8484"/>
    <n v="4296"/>
    <n v="70"/>
    <n v="107"/>
    <n v="907788"/>
    <n v="108926"/>
    <n v="798862"/>
    <n v="459672"/>
    <n v="339190"/>
    <n v="0.42459148138226627"/>
    <n v="2"/>
    <n v="15270"/>
    <n v="2.8571428571428571E-2"/>
    <n v="35"/>
    <n v="4.3"/>
    <n v="306031"/>
    <n v="3693251"/>
    <n v="12.06822511444919"/>
    <x v="0"/>
  </r>
  <r>
    <s v="PRD-031"/>
    <x v="30"/>
    <x v="0"/>
    <d v="2024-11-10T00:00:00"/>
    <n v="141"/>
    <s v="Mature"/>
    <n v="782"/>
    <n v="362"/>
    <n v="125"/>
    <n v="179"/>
    <n v="139978"/>
    <n v="21421"/>
    <n v="118557"/>
    <n v="64798"/>
    <n v="53759"/>
    <n v="0.45344433479254703"/>
    <n v="12"/>
    <n v="8436"/>
    <n v="9.6000000000000002E-2"/>
    <n v="52"/>
    <n v="4.63"/>
    <n v="736244"/>
    <n v="536171"/>
    <n v="0.72825177522669116"/>
    <x v="2"/>
  </r>
  <r>
    <s v="PRD-032"/>
    <x v="31"/>
    <x v="0"/>
    <d v="2023-11-04T00:00:00"/>
    <n v="513"/>
    <s v="Mature"/>
    <n v="5693"/>
    <n v="4152"/>
    <n v="92"/>
    <n v="136"/>
    <n v="774248"/>
    <n v="86013"/>
    <n v="688235"/>
    <n v="564672"/>
    <n v="123563"/>
    <n v="0.17953605963079472"/>
    <n v="7"/>
    <n v="35861"/>
    <n v="7.6086956521739135E-2"/>
    <n v="44"/>
    <n v="3.66"/>
    <n v="449972"/>
    <n v="3841760"/>
    <n v="8.5377756838203265"/>
    <x v="2"/>
  </r>
  <r>
    <s v="PRD-033"/>
    <x v="32"/>
    <x v="0"/>
    <d v="2023-07-31T00:00:00"/>
    <n v="609"/>
    <s v="Mature"/>
    <n v="16246"/>
    <n v="13489"/>
    <n v="24"/>
    <n v="32"/>
    <n v="519872"/>
    <n v="91244"/>
    <n v="428628"/>
    <n v="431648"/>
    <n v="-3020"/>
    <n v="-7.0457366294315819E-3"/>
    <n v="1"/>
    <n v="14621"/>
    <n v="4.1666666666666664E-2"/>
    <n v="8"/>
    <n v="3.56"/>
    <n v="163875"/>
    <n v="2063287"/>
    <n v="12.590614797864227"/>
    <x v="2"/>
  </r>
  <r>
    <s v="PRD-034"/>
    <x v="33"/>
    <x v="0"/>
    <d v="2024-02-27T00:00:00"/>
    <n v="398"/>
    <s v="Mature"/>
    <n v="1942"/>
    <n v="1237"/>
    <n v="253"/>
    <n v="387"/>
    <n v="751554"/>
    <n v="101828"/>
    <n v="649726"/>
    <n v="478719"/>
    <n v="171007"/>
    <n v="0.26319864065775417"/>
    <n v="8"/>
    <n v="13976"/>
    <n v="3.1620553359683792E-2"/>
    <n v="91"/>
    <n v="3.92"/>
    <n v="338734"/>
    <n v="845203"/>
    <n v="2.4951820602596726"/>
    <x v="2"/>
  </r>
  <r>
    <s v="PRD-035"/>
    <x v="34"/>
    <x v="0"/>
    <d v="2023-05-29T00:00:00"/>
    <n v="672"/>
    <s v="Mature"/>
    <n v="19797"/>
    <n v="17211"/>
    <n v="78"/>
    <n v="125"/>
    <n v="2474625"/>
    <n v="420868"/>
    <n v="2053757"/>
    <n v="2151375"/>
    <n v="-97618"/>
    <n v="-4.7531426551437196E-2"/>
    <n v="0"/>
    <n v="0"/>
    <n v="0"/>
    <n v="33"/>
    <n v="3"/>
    <n v="159787"/>
    <n v="3842803"/>
    <n v="24.049534693060135"/>
    <x v="2"/>
  </r>
  <r>
    <s v="PRD-036"/>
    <x v="35"/>
    <x v="0"/>
    <d v="2024-05-20T00:00:00"/>
    <n v="315"/>
    <s v="Mature"/>
    <n v="2985"/>
    <n v="2123"/>
    <n v="95"/>
    <n v="143"/>
    <n v="426855"/>
    <n v="59771"/>
    <n v="367084"/>
    <n v="303589"/>
    <n v="63495"/>
    <n v="0.17297130901918906"/>
    <n v="8"/>
    <n v="21488"/>
    <n v="8.4210526315789472E-2"/>
    <n v="31"/>
    <n v="3.84"/>
    <n v="378728"/>
    <n v="2073105"/>
    <n v="5.4738625081852943"/>
    <x v="2"/>
  </r>
  <r>
    <s v="PRD-037"/>
    <x v="36"/>
    <x v="0"/>
    <d v="2024-08-18T00:00:00"/>
    <n v="225"/>
    <s v="Mature"/>
    <n v="9002"/>
    <n v="6498"/>
    <n v="33"/>
    <n v="52"/>
    <n v="468104"/>
    <n v="43926"/>
    <n v="424178"/>
    <n v="337896"/>
    <n v="86282"/>
    <n v="0.20340988924460957"/>
    <n v="0"/>
    <n v="0"/>
    <n v="0"/>
    <n v="11"/>
    <n v="3.64"/>
    <n v="594794"/>
    <n v="5806443"/>
    <n v="9.7621075532032933"/>
    <x v="2"/>
  </r>
  <r>
    <s v="PRD-038"/>
    <x v="37"/>
    <x v="0"/>
    <d v="2022-12-15T00:00:00"/>
    <n v="837"/>
    <s v="Mature"/>
    <n v="18747"/>
    <n v="8469"/>
    <n v="34"/>
    <n v="43"/>
    <n v="806121"/>
    <n v="122433"/>
    <n v="683688"/>
    <n v="364167"/>
    <n v="319521"/>
    <n v="0.46734914171376418"/>
    <n v="5"/>
    <n v="84360"/>
    <n v="0.14705882352941177"/>
    <n v="13"/>
    <n v="4.42"/>
    <n v="670198"/>
    <n v="14897473"/>
    <n v="22.228465319204176"/>
    <x v="2"/>
  </r>
  <r>
    <s v="PRD-039"/>
    <x v="38"/>
    <x v="0"/>
    <d v="2023-12-23T00:00:00"/>
    <n v="464"/>
    <s v="Mature"/>
    <n v="12407"/>
    <n v="9575"/>
    <n v="27"/>
    <n v="42"/>
    <n v="521094"/>
    <n v="77864"/>
    <n v="443230"/>
    <n v="402150"/>
    <n v="41080"/>
    <n v="9.2683256999751829E-2"/>
    <n v="1"/>
    <n v="11166"/>
    <n v="3.7037037037037035E-2"/>
    <n v="12"/>
    <n v="3.08"/>
    <n v="79443"/>
    <n v="3546822"/>
    <n v="44.646123635814355"/>
    <x v="2"/>
  </r>
  <r>
    <s v="PRD-040"/>
    <x v="39"/>
    <x v="0"/>
    <d v="2023-01-15T00:00:00"/>
    <n v="806"/>
    <s v="Mature"/>
    <n v="10109"/>
    <n v="4859"/>
    <n v="63"/>
    <n v="91"/>
    <n v="919919"/>
    <n v="163771"/>
    <n v="756148"/>
    <n v="442169"/>
    <n v="313979"/>
    <n v="0.41523484820431977"/>
    <n v="3"/>
    <n v="27294"/>
    <n v="4.7619047619047616E-2"/>
    <n v="26"/>
    <n v="4.63"/>
    <n v="106956"/>
    <n v="2722950"/>
    <n v="25.458599798047796"/>
    <x v="0"/>
  </r>
  <r>
    <s v="PRD-041"/>
    <x v="40"/>
    <x v="0"/>
    <d v="2023-05-04T00:00:00"/>
    <n v="697"/>
    <s v="Mature"/>
    <n v="9223"/>
    <n v="7131"/>
    <n v="115"/>
    <n v="172"/>
    <n v="1586356"/>
    <n v="256124"/>
    <n v="1330232"/>
    <n v="1226532"/>
    <n v="103700"/>
    <n v="7.7956326415241847E-2"/>
    <n v="3"/>
    <n v="24900"/>
    <n v="2.6086956521739129E-2"/>
    <n v="55"/>
    <n v="3.46"/>
    <n v="300199"/>
    <n v="3794887"/>
    <n v="12.641237978807391"/>
    <x v="2"/>
  </r>
  <r>
    <s v="PRD-042"/>
    <x v="41"/>
    <x v="0"/>
    <d v="2023-12-08T00:00:00"/>
    <n v="479"/>
    <s v="Mature"/>
    <n v="1963"/>
    <n v="1685"/>
    <n v="189"/>
    <n v="282"/>
    <n v="553566"/>
    <n v="75289"/>
    <n v="478277"/>
    <n v="475170"/>
    <n v="3107"/>
    <n v="6.4962354451499867E-3"/>
    <n v="6"/>
    <n v="10596"/>
    <n v="3.1746031746031744E-2"/>
    <n v="72"/>
    <n v="2.98"/>
    <n v="235016"/>
    <n v="584989"/>
    <n v="2.4891454198863054"/>
    <x v="2"/>
  </r>
  <r>
    <s v="PRD-043"/>
    <x v="42"/>
    <x v="0"/>
    <d v="2024-04-17T00:00:00"/>
    <n v="348"/>
    <s v="Mature"/>
    <n v="5593"/>
    <n v="3168"/>
    <n v="66"/>
    <n v="95"/>
    <n v="531335"/>
    <n v="86316"/>
    <n v="445019"/>
    <n v="300960"/>
    <n v="144059"/>
    <n v="0.32371426837955236"/>
    <n v="5"/>
    <n v="25165"/>
    <n v="7.575757575757576E-2"/>
    <n v="27"/>
    <n v="4.0199999999999996"/>
    <n v="254929"/>
    <n v="1736394"/>
    <n v="6.8112847106449248"/>
    <x v="2"/>
  </r>
  <r>
    <s v="PRD-044"/>
    <x v="43"/>
    <x v="0"/>
    <d v="2024-05-19T00:00:00"/>
    <n v="316"/>
    <s v="Mature"/>
    <n v="1479"/>
    <n v="775"/>
    <n v="106"/>
    <n v="149"/>
    <n v="220371"/>
    <n v="24506"/>
    <n v="195865"/>
    <n v="115475"/>
    <n v="80390"/>
    <n v="0.41043575932402421"/>
    <n v="15"/>
    <n v="19965"/>
    <n v="0.14150943396226415"/>
    <n v="49"/>
    <n v="4.32"/>
    <n v="284032"/>
    <n v="543204"/>
    <n v="1.9124746507435781"/>
    <x v="2"/>
  </r>
  <r>
    <s v="PRD-045"/>
    <x v="44"/>
    <x v="0"/>
    <d v="2023-09-28T00:00:00"/>
    <n v="550"/>
    <s v="Mature"/>
    <n v="8475"/>
    <n v="5083"/>
    <n v="89"/>
    <n v="135"/>
    <n v="1144125"/>
    <n v="185216"/>
    <n v="958909"/>
    <n v="686205"/>
    <n v="272704"/>
    <n v="0.28438986389740839"/>
    <n v="3"/>
    <n v="22881"/>
    <n v="3.3707865168539325E-2"/>
    <n v="35"/>
    <n v="4.03"/>
    <n v="719812"/>
    <n v="7549369"/>
    <n v="10.48797324857046"/>
    <x v="0"/>
  </r>
  <r>
    <s v="PRD-046"/>
    <x v="45"/>
    <x v="0"/>
    <d v="2023-03-31T00:00:00"/>
    <n v="731"/>
    <s v="Mature"/>
    <n v="5623"/>
    <n v="2590"/>
    <n v="88"/>
    <n v="129"/>
    <n v="725367"/>
    <n v="117108"/>
    <n v="608259"/>
    <n v="334110"/>
    <n v="274149"/>
    <n v="0.45071096358623547"/>
    <n v="1"/>
    <n v="5060"/>
    <n v="1.1363636363636364E-2"/>
    <n v="29"/>
    <n v="4.53"/>
    <n v="408493"/>
    <n v="2902686"/>
    <n v="7.1058402469564959"/>
    <x v="0"/>
  </r>
  <r>
    <s v="PRD-047"/>
    <x v="46"/>
    <x v="0"/>
    <d v="2024-12-15T00:00:00"/>
    <n v="106"/>
    <s v="Mature"/>
    <n v="8430"/>
    <n v="6574"/>
    <n v="78"/>
    <n v="116"/>
    <n v="977880"/>
    <n v="121540"/>
    <n v="856340"/>
    <n v="762584"/>
    <n v="93756"/>
    <n v="0.10948455052899549"/>
    <n v="3"/>
    <n v="22761"/>
    <n v="3.8461538461538464E-2"/>
    <n v="27"/>
    <n v="3.52"/>
    <n v="112768"/>
    <n v="893545"/>
    <n v="7.9237460981838819"/>
    <x v="2"/>
  </r>
  <r>
    <s v="PRD-048"/>
    <x v="47"/>
    <x v="0"/>
    <d v="2024-12-23T00:00:00"/>
    <n v="98"/>
    <s v="Mature"/>
    <n v="11756"/>
    <n v="8965"/>
    <n v="63"/>
    <n v="95"/>
    <n v="1116820"/>
    <n v="220562"/>
    <n v="896258"/>
    <n v="851675"/>
    <n v="44583"/>
    <n v="4.9743489039986252E-2"/>
    <n v="4"/>
    <n v="42320"/>
    <n v="6.3492063492063489E-2"/>
    <n v="26"/>
    <n v="3.77"/>
    <n v="54055"/>
    <n v="716872"/>
    <n v="13.261899916751457"/>
    <x v="2"/>
  </r>
  <r>
    <s v="PRD-049"/>
    <x v="48"/>
    <x v="0"/>
    <d v="2024-03-05T00:00:00"/>
    <n v="391"/>
    <s v="Mature"/>
    <n v="9445"/>
    <n v="7008"/>
    <n v="71"/>
    <n v="107"/>
    <n v="1010615"/>
    <n v="193223"/>
    <n v="817392"/>
    <n v="749856"/>
    <n v="67536"/>
    <n v="8.2623759469140884E-2"/>
    <n v="1"/>
    <n v="8500"/>
    <n v="1.4084507042253521E-2"/>
    <n v="19"/>
    <n v="3.37"/>
    <n v="414632"/>
    <n v="6278239"/>
    <n v="15.141713615929307"/>
    <x v="2"/>
  </r>
  <r>
    <s v="PRD-050"/>
    <x v="49"/>
    <x v="0"/>
    <d v="2023-06-29T00:00:00"/>
    <n v="641"/>
    <s v="Mature"/>
    <n v="6150"/>
    <n v="3928"/>
    <n v="139"/>
    <n v="204"/>
    <n v="1254600"/>
    <n v="189746"/>
    <n v="1064854"/>
    <n v="801312"/>
    <n v="263542"/>
    <n v="0.24749120536712074"/>
    <n v="11"/>
    <n v="60885"/>
    <n v="7.9136690647482008E-2"/>
    <n v="51"/>
    <n v="3.87"/>
    <n v="234898"/>
    <n v="2308074"/>
    <n v="9.8258563291300902"/>
    <x v="2"/>
  </r>
  <r>
    <s v="PRD-051"/>
    <x v="50"/>
    <x v="0"/>
    <d v="2024-05-13T00:00:00"/>
    <n v="322"/>
    <s v="Mature"/>
    <n v="4088"/>
    <n v="2970"/>
    <n v="64"/>
    <n v="95"/>
    <n v="388360"/>
    <n v="56328"/>
    <n v="332032"/>
    <n v="282150"/>
    <n v="49882"/>
    <n v="0.15023250771010024"/>
    <n v="4"/>
    <n v="14716"/>
    <n v="6.25E-2"/>
    <n v="22"/>
    <n v="3.66"/>
    <n v="126713"/>
    <n v="644806"/>
    <n v="5.0887122868213996"/>
    <x v="2"/>
  </r>
  <r>
    <s v="PRD-052"/>
    <x v="51"/>
    <x v="0"/>
    <d v="2022-12-11T00:00:00"/>
    <n v="841"/>
    <s v="Mature"/>
    <n v="6755"/>
    <n v="4972"/>
    <n v="56"/>
    <n v="87"/>
    <n v="587685"/>
    <n v="112996"/>
    <n v="474689"/>
    <n v="432564"/>
    <n v="42125"/>
    <n v="8.874231338834479E-2"/>
    <n v="8"/>
    <n v="48632"/>
    <n v="0.14285714285714285"/>
    <n v="26"/>
    <n v="3.58"/>
    <n v="151905"/>
    <n v="2047785"/>
    <n v="13.480695171324182"/>
    <x v="2"/>
  </r>
  <r>
    <s v="PRD-053"/>
    <x v="52"/>
    <x v="0"/>
    <d v="2023-11-23T00:00:00"/>
    <n v="494"/>
    <s v="Mature"/>
    <n v="16916"/>
    <n v="12870"/>
    <n v="67"/>
    <n v="102"/>
    <n v="1725432"/>
    <n v="348118"/>
    <n v="1377314"/>
    <n v="1312740"/>
    <n v="64574"/>
    <n v="4.6884007568354057E-2"/>
    <n v="4"/>
    <n v="60896"/>
    <n v="5.9701492537313432E-2"/>
    <n v="26"/>
    <n v="3.42"/>
    <n v="148823"/>
    <n v="2948386"/>
    <n v="19.811359803256217"/>
    <x v="2"/>
  </r>
  <r>
    <s v="PRD-054"/>
    <x v="53"/>
    <x v="0"/>
    <d v="2023-08-05T00:00:00"/>
    <n v="604"/>
    <s v="Mature"/>
    <n v="6001"/>
    <n v="3738"/>
    <n v="100"/>
    <n v="139"/>
    <n v="834139"/>
    <n v="108299"/>
    <n v="725840"/>
    <n v="519582"/>
    <n v="206258"/>
    <n v="0.28416455417171826"/>
    <n v="2"/>
    <n v="10800"/>
    <n v="0.02"/>
    <n v="32"/>
    <n v="4.03"/>
    <n v="638833"/>
    <n v="3136294"/>
    <n v="4.9094113798128776"/>
    <x v="0"/>
  </r>
  <r>
    <s v="PRD-055"/>
    <x v="54"/>
    <x v="0"/>
    <d v="2023-12-27T00:00:00"/>
    <n v="460"/>
    <s v="Mature"/>
    <n v="10858"/>
    <n v="7500"/>
    <n v="112"/>
    <n v="168"/>
    <n v="1824144"/>
    <n v="239526"/>
    <n v="1584618"/>
    <n v="1260000"/>
    <n v="324618"/>
    <n v="0.20485568130615706"/>
    <n v="1"/>
    <n v="9772"/>
    <n v="8.9285714285714281E-3"/>
    <n v="43"/>
    <n v="3.52"/>
    <n v="598788"/>
    <n v="5747478"/>
    <n v="9.5985190083969627"/>
    <x v="2"/>
  </r>
  <r>
    <s v="PRD-056"/>
    <x v="55"/>
    <x v="0"/>
    <d v="2024-07-10T00:00:00"/>
    <n v="264"/>
    <s v="Mature"/>
    <n v="9598"/>
    <n v="6411"/>
    <n v="44"/>
    <n v="68"/>
    <n v="652664"/>
    <n v="100543"/>
    <n v="552121"/>
    <n v="435948"/>
    <n v="116173"/>
    <n v="0.21041221036693045"/>
    <n v="4"/>
    <n v="34552"/>
    <n v="9.0909090909090912E-2"/>
    <n v="23"/>
    <n v="3.98"/>
    <n v="364446"/>
    <n v="4247170"/>
    <n v="11.653770380248377"/>
    <x v="2"/>
  </r>
  <r>
    <s v="PRD-057"/>
    <x v="56"/>
    <x v="0"/>
    <d v="2022-11-17T00:00:00"/>
    <n v="865"/>
    <s v="Mature"/>
    <n v="6824"/>
    <n v="5689"/>
    <n v="94"/>
    <n v="145"/>
    <n v="989480"/>
    <n v="105776"/>
    <n v="883704"/>
    <n v="824905"/>
    <n v="58799"/>
    <n v="6.6536985234875029E-2"/>
    <n v="10"/>
    <n v="61410"/>
    <n v="0.10638297872340426"/>
    <n v="33"/>
    <n v="3.41"/>
    <n v="219988"/>
    <n v="1815661"/>
    <n v="8.2534547338945767"/>
    <x v="2"/>
  </r>
  <r>
    <s v="PRD-058"/>
    <x v="57"/>
    <x v="0"/>
    <d v="2023-10-29T00:00:00"/>
    <n v="519"/>
    <s v="Mature"/>
    <n v="6670"/>
    <n v="3846"/>
    <n v="133"/>
    <n v="199"/>
    <n v="1327330"/>
    <n v="231391"/>
    <n v="1095939"/>
    <n v="765354"/>
    <n v="330585"/>
    <n v="0.3016454382953796"/>
    <n v="20"/>
    <n v="120060"/>
    <n v="0.15037593984962405"/>
    <n v="46"/>
    <n v="4.22"/>
    <n v="467089"/>
    <n v="2670351"/>
    <n v="5.7170068231107987"/>
    <x v="2"/>
  </r>
  <r>
    <s v="PRD-059"/>
    <x v="58"/>
    <x v="0"/>
    <d v="2024-09-12T00:00:00"/>
    <n v="200"/>
    <s v="Mature"/>
    <n v="14230"/>
    <n v="11405"/>
    <n v="26"/>
    <n v="39"/>
    <n v="554970"/>
    <n v="101257"/>
    <n v="453713"/>
    <n v="444795"/>
    <n v="8918"/>
    <n v="1.9655597260823471E-2"/>
    <n v="0"/>
    <n v="0"/>
    <n v="0"/>
    <n v="11"/>
    <n v="3.64"/>
    <n v="540877"/>
    <n v="8624298"/>
    <n v="15.945026318368132"/>
    <x v="2"/>
  </r>
  <r>
    <s v="PRD-060"/>
    <x v="59"/>
    <x v="0"/>
    <d v="2024-06-01T00:00:00"/>
    <n v="303"/>
    <s v="Mature"/>
    <n v="17703"/>
    <n v="8062"/>
    <n v="56"/>
    <n v="86"/>
    <n v="1522458"/>
    <n v="127484"/>
    <n v="1394974"/>
    <n v="693332"/>
    <n v="701642"/>
    <n v="0.50297855013785198"/>
    <n v="7"/>
    <n v="111524"/>
    <n v="0.125"/>
    <n v="24"/>
    <n v="4.4800000000000004"/>
    <n v="406951"/>
    <n v="8210978"/>
    <n v="20.176822270985941"/>
    <x v="2"/>
  </r>
  <r>
    <s v="PRD-061"/>
    <x v="60"/>
    <x v="0"/>
    <d v="2023-03-12T00:00:00"/>
    <n v="750"/>
    <s v="Mature"/>
    <n v="18251"/>
    <n v="12763"/>
    <n v="76"/>
    <n v="114"/>
    <n v="2080614"/>
    <n v="285077"/>
    <n v="1795537"/>
    <n v="1454982"/>
    <n v="340555"/>
    <n v="0.18966749223212889"/>
    <n v="1"/>
    <n v="16425"/>
    <n v="1.3157894736842105E-2"/>
    <n v="33"/>
    <n v="3.82"/>
    <n v="218427"/>
    <n v="6008308"/>
    <n v="27.507167154243753"/>
    <x v="2"/>
  </r>
  <r>
    <s v="PRD-062"/>
    <x v="61"/>
    <x v="0"/>
    <d v="2023-06-02T00:00:00"/>
    <n v="668"/>
    <s v="Mature"/>
    <n v="17380"/>
    <n v="11851"/>
    <n v="51"/>
    <n v="80"/>
    <n v="1390400"/>
    <n v="231568"/>
    <n v="1158832"/>
    <n v="948080"/>
    <n v="210752"/>
    <n v="0.18186587874687615"/>
    <n v="0"/>
    <n v="0"/>
    <n v="0"/>
    <n v="19"/>
    <n v="3.45"/>
    <n v="575567"/>
    <n v="10658910"/>
    <n v="18.518973464427251"/>
    <x v="2"/>
  </r>
  <r>
    <s v="PRD-063"/>
    <x v="62"/>
    <x v="0"/>
    <d v="2023-05-25T00:00:00"/>
    <n v="676"/>
    <s v="Mature"/>
    <n v="2939"/>
    <n v="2462"/>
    <n v="117"/>
    <n v="174"/>
    <n v="511386"/>
    <n v="54939"/>
    <n v="456447"/>
    <n v="428388"/>
    <n v="28059"/>
    <n v="6.1472635377163173E-2"/>
    <n v="8"/>
    <n v="21160"/>
    <n v="6.8376068376068383E-2"/>
    <n v="57"/>
    <n v="3.21"/>
    <n v="215881"/>
    <n v="885946"/>
    <n v="4.1038627762517317"/>
    <x v="2"/>
  </r>
  <r>
    <s v="PRD-064"/>
    <x v="63"/>
    <x v="0"/>
    <d v="2023-04-30T00:00:00"/>
    <n v="701"/>
    <s v="Mature"/>
    <n v="15566"/>
    <n v="11097"/>
    <n v="51"/>
    <n v="74"/>
    <n v="1151884"/>
    <n v="142822"/>
    <n v="1009062"/>
    <n v="821178"/>
    <n v="187884"/>
    <n v="0.18619668563477765"/>
    <n v="2"/>
    <n v="28018"/>
    <n v="3.9215686274509803E-2"/>
    <n v="25"/>
    <n v="3.74"/>
    <n v="483714"/>
    <n v="12315927"/>
    <n v="25.461175405301478"/>
    <x v="2"/>
  </r>
  <r>
    <s v="PRD-065"/>
    <x v="64"/>
    <x v="0"/>
    <d v="2023-09-26T00:00:00"/>
    <n v="552"/>
    <s v="Mature"/>
    <n v="12763"/>
    <n v="8747"/>
    <n v="99"/>
    <n v="148"/>
    <n v="1888924"/>
    <n v="233116"/>
    <n v="1655808"/>
    <n v="1294556"/>
    <n v="361252"/>
    <n v="0.21817263837353124"/>
    <n v="6"/>
    <n v="68916"/>
    <n v="6.0606060606060608E-2"/>
    <n v="52"/>
    <n v="3.51"/>
    <n v="325530"/>
    <n v="4233354"/>
    <n v="13.004497281356556"/>
    <x v="2"/>
  </r>
  <r>
    <s v="PRD-066"/>
    <x v="65"/>
    <x v="0"/>
    <d v="2023-07-07T00:00:00"/>
    <n v="633"/>
    <s v="Mature"/>
    <n v="7525"/>
    <n v="5119"/>
    <n v="60"/>
    <n v="87"/>
    <n v="654675"/>
    <n v="108557"/>
    <n v="546118"/>
    <n v="445353"/>
    <n v="100765"/>
    <n v="0.18451140595988413"/>
    <n v="5"/>
    <n v="33860"/>
    <n v="8.3333333333333329E-2"/>
    <n v="24"/>
    <n v="3.6"/>
    <n v="508610"/>
    <n v="5259334"/>
    <n v="10.340602819449087"/>
    <x v="2"/>
  </r>
  <r>
    <s v="PRD-067"/>
    <x v="66"/>
    <x v="0"/>
    <d v="2024-06-29T00:00:00"/>
    <n v="275"/>
    <s v="Mature"/>
    <n v="15614"/>
    <n v="7591"/>
    <n v="87"/>
    <n v="129"/>
    <n v="2014206"/>
    <n v="361226"/>
    <n v="1652980"/>
    <n v="979239"/>
    <n v="673741"/>
    <n v="0.40759174339677429"/>
    <n v="12"/>
    <n v="168624"/>
    <n v="0.13793103448275862"/>
    <n v="33"/>
    <n v="4.2300000000000004"/>
    <n v="481228"/>
    <n v="6663777"/>
    <n v="13.847442376586566"/>
    <x v="2"/>
  </r>
  <r>
    <s v="PRD-068"/>
    <x v="67"/>
    <x v="0"/>
    <d v="2023-04-05T00:00:00"/>
    <n v="726"/>
    <s v="Mature"/>
    <n v="4745"/>
    <n v="2419"/>
    <n v="160"/>
    <n v="234"/>
    <n v="1110330"/>
    <n v="186193"/>
    <n v="924137"/>
    <n v="566046"/>
    <n v="358091"/>
    <n v="0.38748692022935993"/>
    <n v="22"/>
    <n v="93940"/>
    <n v="0.13750000000000001"/>
    <n v="66"/>
    <n v="4.41"/>
    <n v="271745"/>
    <n v="1407533"/>
    <n v="5.1796095604334944"/>
    <x v="2"/>
  </r>
  <r>
    <s v="PRD-069"/>
    <x v="68"/>
    <x v="0"/>
    <d v="2023-12-06T00:00:00"/>
    <n v="481"/>
    <s v="Mature"/>
    <n v="9416"/>
    <n v="5287"/>
    <n v="96"/>
    <n v="140"/>
    <n v="1318240"/>
    <n v="140975"/>
    <n v="1177265"/>
    <n v="740180"/>
    <n v="437085"/>
    <n v="0.37127154888661429"/>
    <n v="5"/>
    <n v="42370"/>
    <n v="5.2083333333333336E-2"/>
    <n v="36"/>
    <n v="4.28"/>
    <n v="317091"/>
    <n v="3821819"/>
    <n v="12.052751418362552"/>
    <x v="2"/>
  </r>
  <r>
    <s v="PRD-070"/>
    <x v="69"/>
    <x v="0"/>
    <d v="2024-12-08T00:00:00"/>
    <n v="113"/>
    <s v="Mature"/>
    <n v="7646"/>
    <n v="4644"/>
    <n v="67"/>
    <n v="103"/>
    <n v="787538"/>
    <n v="87697"/>
    <n v="699841"/>
    <n v="478332"/>
    <n v="221509"/>
    <n v="0.31651332231178225"/>
    <n v="4"/>
    <n v="27524"/>
    <n v="5.9701492537313432E-2"/>
    <n v="26"/>
    <n v="4.12"/>
    <n v="56148"/>
    <n v="750470"/>
    <n v="13.365925767614163"/>
    <x v="4"/>
  </r>
  <r>
    <s v="PRD-071"/>
    <x v="70"/>
    <x v="0"/>
    <d v="2024-01-28T00:00:00"/>
    <n v="428"/>
    <s v="Mature"/>
    <n v="5292"/>
    <n v="4194"/>
    <n v="131"/>
    <n v="201"/>
    <n v="1063692"/>
    <n v="126552"/>
    <n v="937140"/>
    <n v="842994"/>
    <n v="94146"/>
    <n v="0.10046097701517383"/>
    <n v="8"/>
    <n v="38096"/>
    <n v="6.1068702290076333E-2"/>
    <n v="59"/>
    <n v="3.22"/>
    <n v="106561"/>
    <n v="1140541"/>
    <n v="10.703174707444562"/>
    <x v="2"/>
  </r>
  <r>
    <s v="PRD-072"/>
    <x v="71"/>
    <x v="0"/>
    <d v="2024-11-04T00:00:00"/>
    <n v="147"/>
    <s v="Mature"/>
    <n v="5797"/>
    <n v="3636"/>
    <n v="104"/>
    <n v="159"/>
    <n v="921723"/>
    <n v="110027"/>
    <n v="811696"/>
    <n v="578124"/>
    <n v="233572"/>
    <n v="0.28775797835642902"/>
    <n v="3"/>
    <n v="15651"/>
    <n v="2.8846153846153848E-2"/>
    <n v="45"/>
    <n v="3.89"/>
    <n v="635418"/>
    <n v="5905787"/>
    <n v="9.2943338086110252"/>
    <x v="2"/>
  </r>
  <r>
    <s v="PRD-073"/>
    <x v="72"/>
    <x v="0"/>
    <d v="2023-10-20T00:00:00"/>
    <n v="528"/>
    <s v="Mature"/>
    <n v="10521"/>
    <n v="6742"/>
    <n v="116"/>
    <n v="169"/>
    <n v="1778049"/>
    <n v="239923"/>
    <n v="1538126"/>
    <n v="1139398"/>
    <n v="398728"/>
    <n v="0.25922973800585908"/>
    <n v="9"/>
    <n v="85212"/>
    <n v="7.7586206896551727E-2"/>
    <n v="58"/>
    <n v="4.09"/>
    <n v="659914"/>
    <n v="6846018"/>
    <n v="10.374106322945112"/>
    <x v="2"/>
  </r>
  <r>
    <s v="PRD-074"/>
    <x v="73"/>
    <x v="0"/>
    <d v="2024-12-24T00:00:00"/>
    <n v="97"/>
    <s v="Mature"/>
    <n v="19973"/>
    <n v="10735"/>
    <n v="53"/>
    <n v="77"/>
    <n v="1537921"/>
    <n v="168649"/>
    <n v="1369272"/>
    <n v="826595"/>
    <n v="542677"/>
    <n v="0.39632520054452292"/>
    <n v="3"/>
    <n v="53925"/>
    <n v="5.6603773584905662E-2"/>
    <n v="22"/>
    <n v="4.25"/>
    <n v="246582"/>
    <n v="7872856"/>
    <n v="31.927942834432358"/>
    <x v="2"/>
  </r>
  <r>
    <s v="PRD-075"/>
    <x v="74"/>
    <x v="2"/>
    <d v="2022-10-13T00:00:00"/>
    <n v="900"/>
    <s v="Mature"/>
    <n v="16878"/>
    <n v="10272"/>
    <n v="25"/>
    <n v="40"/>
    <n v="675120"/>
    <n v="100176"/>
    <n v="574944"/>
    <n v="410880"/>
    <n v="164064"/>
    <n v="0.28535648689263649"/>
    <n v="1"/>
    <n v="15190"/>
    <n v="0.04"/>
    <n v="12"/>
    <n v="4.25"/>
    <n v="97496"/>
    <n v="2530919"/>
    <n v="25.959208582916222"/>
    <x v="0"/>
  </r>
  <r>
    <s v="PRD-076"/>
    <x v="75"/>
    <x v="2"/>
    <d v="2024-10-21T00:00:00"/>
    <n v="161"/>
    <s v="Mature"/>
    <n v="5312"/>
    <n v="3739"/>
    <n v="117"/>
    <n v="169"/>
    <n v="897728"/>
    <n v="124300"/>
    <n v="773428"/>
    <n v="631891"/>
    <n v="141537"/>
    <n v="0.18299958108576364"/>
    <n v="7"/>
    <n v="33460"/>
    <n v="5.9829059829059832E-2"/>
    <n v="52"/>
    <n v="3.73"/>
    <n v="336844"/>
    <n v="2903629"/>
    <n v="8.6201001056869053"/>
    <x v="2"/>
  </r>
  <r>
    <s v="PRD-077"/>
    <x v="76"/>
    <x v="2"/>
    <d v="2024-05-29T00:00:00"/>
    <n v="306"/>
    <s v="Mature"/>
    <n v="14571"/>
    <n v="7699"/>
    <n v="41"/>
    <n v="63"/>
    <n v="917973"/>
    <n v="143836"/>
    <n v="774137"/>
    <n v="485037"/>
    <n v="289100"/>
    <n v="0.37344811060574551"/>
    <n v="7"/>
    <n v="91791"/>
    <n v="0.17073170731707318"/>
    <n v="19"/>
    <n v="4.16"/>
    <n v="209017"/>
    <n v="2759063"/>
    <n v="13.200184673973887"/>
    <x v="2"/>
  </r>
  <r>
    <s v="PRD-078"/>
    <x v="77"/>
    <x v="2"/>
    <d v="2024-05-06T00:00:00"/>
    <n v="329"/>
    <s v="Mature"/>
    <n v="8289"/>
    <n v="4660"/>
    <n v="51"/>
    <n v="76"/>
    <n v="629964"/>
    <n v="66345"/>
    <n v="563619"/>
    <n v="354160"/>
    <n v="209459"/>
    <n v="0.37163225512269815"/>
    <n v="4"/>
    <n v="29840"/>
    <n v="7.8431372549019607E-2"/>
    <n v="20"/>
    <n v="4.43"/>
    <n v="352452"/>
    <n v="3544493"/>
    <n v="10.05666870949803"/>
    <x v="2"/>
  </r>
  <r>
    <s v="PRD-079"/>
    <x v="78"/>
    <x v="2"/>
    <d v="2024-06-02T00:00:00"/>
    <n v="302"/>
    <s v="Mature"/>
    <n v="8764"/>
    <n v="6545"/>
    <n v="68"/>
    <n v="100"/>
    <n v="876400"/>
    <n v="139301"/>
    <n v="737099"/>
    <n v="654500"/>
    <n v="82599"/>
    <n v="0.11205957408706294"/>
    <n v="2"/>
    <n v="15774"/>
    <n v="2.9411764705882353E-2"/>
    <n v="28"/>
    <n v="3.3"/>
    <n v="157873"/>
    <n v="1145086"/>
    <n v="7.2532098585571951"/>
    <x v="2"/>
  </r>
  <r>
    <s v="PRD-080"/>
    <x v="79"/>
    <x v="2"/>
    <d v="2023-06-04T00:00:00"/>
    <n v="666"/>
    <s v="Mature"/>
    <n v="16308"/>
    <n v="10602"/>
    <n v="80"/>
    <n v="120"/>
    <n v="1956960"/>
    <n v="329103"/>
    <n v="1627857"/>
    <n v="1272240"/>
    <n v="355617"/>
    <n v="0.21845714949163225"/>
    <n v="2"/>
    <n v="29354"/>
    <n v="2.5000000000000001E-2"/>
    <n v="36"/>
    <n v="3.76"/>
    <n v="245511"/>
    <n v="5738116"/>
    <n v="23.372134038800706"/>
    <x v="2"/>
  </r>
  <r>
    <s v="PRD-081"/>
    <x v="80"/>
    <x v="2"/>
    <d v="2023-08-10T00:00:00"/>
    <n v="599"/>
    <s v="Mature"/>
    <n v="13550"/>
    <n v="7976"/>
    <n v="98"/>
    <n v="144"/>
    <n v="1951200"/>
    <n v="321454"/>
    <n v="1629746"/>
    <n v="1148544"/>
    <n v="481202"/>
    <n v="0.29526196106632568"/>
    <n v="11"/>
    <n v="134145"/>
    <n v="0.11224489795918367"/>
    <n v="34"/>
    <n v="3.81"/>
    <n v="515529"/>
    <n v="10036348"/>
    <n v="19.468057083112686"/>
    <x v="2"/>
  </r>
  <r>
    <s v="PRD-082"/>
    <x v="81"/>
    <x v="2"/>
    <d v="2024-01-08T00:00:00"/>
    <n v="448"/>
    <s v="Mature"/>
    <n v="11138"/>
    <n v="8260"/>
    <n v="73"/>
    <n v="116"/>
    <n v="1292008"/>
    <n v="240604"/>
    <n v="1051404"/>
    <n v="958160"/>
    <n v="93244"/>
    <n v="8.8685224709055696E-2"/>
    <n v="4"/>
    <n v="40096"/>
    <n v="5.4794520547945202E-2"/>
    <n v="32"/>
    <n v="3.61"/>
    <n v="463068"/>
    <n v="5545902"/>
    <n v="11.976431107310374"/>
    <x v="2"/>
  </r>
  <r>
    <s v="PRD-083"/>
    <x v="82"/>
    <x v="2"/>
    <d v="2024-10-26T00:00:00"/>
    <n v="156"/>
    <s v="Mature"/>
    <n v="6365"/>
    <n v="5179"/>
    <n v="60"/>
    <n v="85"/>
    <n v="541025"/>
    <n v="95697"/>
    <n v="445328"/>
    <n v="440215"/>
    <n v="5113"/>
    <n v="1.1481424927244637E-2"/>
    <n v="2"/>
    <n v="11456"/>
    <n v="3.3333333333333333E-2"/>
    <n v="24"/>
    <n v="3.15"/>
    <n v="207105"/>
    <n v="1937645"/>
    <n v="9.3558581395910281"/>
    <x v="2"/>
  </r>
  <r>
    <s v="PRD-084"/>
    <x v="83"/>
    <x v="2"/>
    <d v="2023-10-05T00:00:00"/>
    <n v="543"/>
    <s v="Mature"/>
    <n v="6659"/>
    <n v="5105"/>
    <n v="142"/>
    <n v="224"/>
    <n v="1491616"/>
    <n v="262760"/>
    <n v="1228856"/>
    <n v="1143520"/>
    <n v="85336"/>
    <n v="6.94434498427806E-2"/>
    <n v="19"/>
    <n v="113867"/>
    <n v="0.13380281690140844"/>
    <n v="46"/>
    <n v="3.53"/>
    <n v="550447"/>
    <n v="5041807"/>
    <n v="9.1594776608828816"/>
    <x v="2"/>
  </r>
  <r>
    <s v="PRD-085"/>
    <x v="84"/>
    <x v="2"/>
    <d v="2023-02-07T00:00:00"/>
    <n v="783"/>
    <s v="Mature"/>
    <n v="18431"/>
    <n v="14164"/>
    <n v="41"/>
    <n v="60"/>
    <n v="1105860"/>
    <n v="123285"/>
    <n v="982575"/>
    <n v="849840"/>
    <n v="132735"/>
    <n v="0.13508892450957943"/>
    <n v="1"/>
    <n v="16587"/>
    <n v="2.4390243902439025E-2"/>
    <n v="19"/>
    <n v="2.87"/>
    <n v="151511"/>
    <n v="2940603"/>
    <n v="19.408511593217654"/>
    <x v="2"/>
  </r>
  <r>
    <s v="PRD-086"/>
    <x v="85"/>
    <x v="2"/>
    <d v="2023-04-07T00:00:00"/>
    <n v="724"/>
    <s v="Mature"/>
    <n v="15985"/>
    <n v="11218"/>
    <n v="90"/>
    <n v="137"/>
    <n v="2189945"/>
    <n v="362614"/>
    <n v="1827331"/>
    <n v="1536866"/>
    <n v="290465"/>
    <n v="0.15895587608375275"/>
    <n v="5"/>
    <n v="71930"/>
    <n v="5.5555555555555552E-2"/>
    <n v="36"/>
    <n v="3.56"/>
    <n v="420776"/>
    <n v="6561150"/>
    <n v="15.592975835123676"/>
    <x v="2"/>
  </r>
  <r>
    <s v="PRD-087"/>
    <x v="86"/>
    <x v="2"/>
    <d v="2024-07-06T00:00:00"/>
    <n v="268"/>
    <s v="Mature"/>
    <n v="16412"/>
    <n v="14223"/>
    <n v="90"/>
    <n v="137"/>
    <n v="2248444"/>
    <n v="458442"/>
    <n v="1790002"/>
    <n v="1948551"/>
    <n v="-158549"/>
    <n v="-8.8574761368981708E-2"/>
    <n v="8"/>
    <n v="118160"/>
    <n v="8.8888888888888892E-2"/>
    <n v="45"/>
    <n v="3.11"/>
    <n v="131318"/>
    <n v="2281281"/>
    <n v="17.372188123486499"/>
    <x v="2"/>
  </r>
  <r>
    <s v="PRD-088"/>
    <x v="87"/>
    <x v="2"/>
    <d v="2023-12-01T00:00:00"/>
    <n v="486"/>
    <s v="Mature"/>
    <n v="4180"/>
    <n v="2712"/>
    <n v="178"/>
    <n v="266"/>
    <n v="1111880"/>
    <n v="142613"/>
    <n v="969267"/>
    <n v="721392"/>
    <n v="247875"/>
    <n v="0.25573448802032878"/>
    <n v="14"/>
    <n v="52668"/>
    <n v="7.8651685393258425E-2"/>
    <n v="72"/>
    <n v="3.81"/>
    <n v="133776"/>
    <n v="609650"/>
    <n v="4.5572449467767013"/>
    <x v="2"/>
  </r>
  <r>
    <s v="PRD-089"/>
    <x v="88"/>
    <x v="2"/>
    <d v="2023-12-14T00:00:00"/>
    <n v="473"/>
    <s v="Mature"/>
    <n v="10042"/>
    <n v="5150"/>
    <n v="46"/>
    <n v="67"/>
    <n v="672814"/>
    <n v="124613"/>
    <n v="548201"/>
    <n v="345050"/>
    <n v="203151"/>
    <n v="0.37057758012115993"/>
    <n v="4"/>
    <n v="36148"/>
    <n v="8.6956521739130432E-2"/>
    <n v="23"/>
    <n v="4.24"/>
    <n v="577363"/>
    <n v="6464711"/>
    <n v="11.196961010664001"/>
    <x v="2"/>
  </r>
  <r>
    <s v="PRD-090"/>
    <x v="89"/>
    <x v="2"/>
    <d v="2022-12-23T00:00:00"/>
    <n v="829"/>
    <s v="Mature"/>
    <n v="7213"/>
    <n v="5632"/>
    <n v="88"/>
    <n v="130"/>
    <n v="937690"/>
    <n v="153724"/>
    <n v="783966"/>
    <n v="732160"/>
    <n v="51806"/>
    <n v="6.6081947431393714E-2"/>
    <n v="9"/>
    <n v="58419"/>
    <n v="0.10227272727272728"/>
    <n v="34"/>
    <n v="3.38"/>
    <n v="277529"/>
    <n v="2788957"/>
    <n v="10.049245304094347"/>
    <x v="2"/>
  </r>
  <r>
    <s v="PRD-091"/>
    <x v="90"/>
    <x v="2"/>
    <d v="2023-05-26T00:00:00"/>
    <n v="675"/>
    <s v="Mature"/>
    <n v="15697"/>
    <n v="12069"/>
    <n v="50"/>
    <n v="79"/>
    <n v="1240063"/>
    <n v="184751"/>
    <n v="1055312"/>
    <n v="953451"/>
    <n v="101861"/>
    <n v="9.6522165956608091E-2"/>
    <n v="3"/>
    <n v="42381"/>
    <n v="0.06"/>
    <n v="16"/>
    <n v="3.28"/>
    <n v="397755"/>
    <n v="6035674"/>
    <n v="15.174351045241417"/>
    <x v="2"/>
  </r>
  <r>
    <s v="PRD-092"/>
    <x v="91"/>
    <x v="2"/>
    <d v="2023-04-21T00:00:00"/>
    <n v="710"/>
    <s v="Mature"/>
    <n v="19625"/>
    <n v="11823"/>
    <n v="78"/>
    <n v="117"/>
    <n v="2296125"/>
    <n v="406682"/>
    <n v="1889443"/>
    <n v="1383291"/>
    <n v="506152"/>
    <n v="0.2678842389000356"/>
    <n v="6"/>
    <n v="105972"/>
    <n v="7.6923076923076927E-2"/>
    <n v="31"/>
    <n v="4.0599999999999996"/>
    <n v="290403"/>
    <n v="9865366"/>
    <n v="33.971295062378829"/>
    <x v="2"/>
  </r>
  <r>
    <s v="PRD-093"/>
    <x v="92"/>
    <x v="2"/>
    <d v="2023-08-11T00:00:00"/>
    <n v="598"/>
    <s v="Mature"/>
    <n v="2253"/>
    <n v="1859"/>
    <n v="149"/>
    <n v="225"/>
    <n v="506925"/>
    <n v="83954"/>
    <n v="422971"/>
    <n v="418275"/>
    <n v="4696"/>
    <n v="1.1102416004879767E-2"/>
    <n v="8"/>
    <n v="16216"/>
    <n v="5.3691275167785234E-2"/>
    <n v="62"/>
    <n v="3.36"/>
    <n v="470679"/>
    <n v="1454760"/>
    <n v="3.0907688679545933"/>
    <x v="2"/>
  </r>
  <r>
    <s v="PRD-094"/>
    <x v="93"/>
    <x v="2"/>
    <d v="2024-02-25T00:00:00"/>
    <n v="400"/>
    <s v="Mature"/>
    <n v="13488"/>
    <n v="6417"/>
    <n v="94"/>
    <n v="142"/>
    <n v="1915296"/>
    <n v="286918"/>
    <n v="1628378"/>
    <n v="911214"/>
    <n v="717164"/>
    <n v="0.44041616872740852"/>
    <n v="1"/>
    <n v="12139"/>
    <n v="1.0638297872340425E-2"/>
    <n v="31"/>
    <n v="4.6100000000000003"/>
    <n v="777178"/>
    <n v="8632967"/>
    <n v="11.108094928060238"/>
    <x v="0"/>
  </r>
  <r>
    <s v="PRD-095"/>
    <x v="94"/>
    <x v="2"/>
    <d v="2023-05-23T00:00:00"/>
    <n v="678"/>
    <s v="Mature"/>
    <n v="8503"/>
    <n v="7553"/>
    <n v="105"/>
    <n v="150"/>
    <n v="1275450"/>
    <n v="124581"/>
    <n v="1150869"/>
    <n v="1132950"/>
    <n v="17919"/>
    <n v="1.5569973646001413E-2"/>
    <n v="2"/>
    <n v="15304"/>
    <n v="1.9047619047619049E-2"/>
    <n v="37"/>
    <n v="3.09"/>
    <n v="730407"/>
    <n v="6333594"/>
    <n v="8.6713216056253568"/>
    <x v="2"/>
  </r>
  <r>
    <s v="PRD-096"/>
    <x v="95"/>
    <x v="2"/>
    <d v="2024-11-13T00:00:00"/>
    <n v="138"/>
    <s v="Mature"/>
    <n v="19181"/>
    <n v="16915"/>
    <n v="76"/>
    <n v="119"/>
    <n v="2282539"/>
    <n v="298690"/>
    <n v="1983849"/>
    <n v="2012885"/>
    <n v="-29036"/>
    <n v="-1.4636194589406754E-2"/>
    <n v="4"/>
    <n v="69048"/>
    <n v="5.2631578947368418E-2"/>
    <n v="24"/>
    <n v="2.9"/>
    <n v="288710"/>
    <n v="6716908"/>
    <n v="23.265241938277164"/>
    <x v="2"/>
  </r>
  <r>
    <s v="PRD-097"/>
    <x v="96"/>
    <x v="2"/>
    <d v="2024-02-16T00:00:00"/>
    <n v="409"/>
    <s v="Mature"/>
    <n v="14582"/>
    <n v="8958"/>
    <n v="90"/>
    <n v="134"/>
    <n v="1953988"/>
    <n v="214558"/>
    <n v="1739430"/>
    <n v="1200372"/>
    <n v="539058"/>
    <n v="0.30990496886911229"/>
    <n v="3"/>
    <n v="39369"/>
    <n v="3.3333333333333333E-2"/>
    <n v="43"/>
    <n v="4.0999999999999996"/>
    <n v="411110"/>
    <n v="5727509"/>
    <n v="13.931816302206222"/>
    <x v="0"/>
  </r>
  <r>
    <s v="PRD-098"/>
    <x v="97"/>
    <x v="2"/>
    <d v="2024-02-20T00:00:00"/>
    <n v="405"/>
    <s v="Mature"/>
    <n v="11106"/>
    <n v="7938"/>
    <n v="28"/>
    <n v="44"/>
    <n v="488664"/>
    <n v="54687"/>
    <n v="433977"/>
    <n v="349272"/>
    <n v="84705"/>
    <n v="0.19518315486765428"/>
    <n v="2"/>
    <n v="19990"/>
    <n v="7.1428571428571425E-2"/>
    <n v="9"/>
    <n v="3.72"/>
    <n v="478662"/>
    <n v="4742158"/>
    <n v="9.9071119077762599"/>
    <x v="2"/>
  </r>
  <r>
    <s v="PRD-099"/>
    <x v="98"/>
    <x v="2"/>
    <d v="2023-01-27T00:00:00"/>
    <n v="794"/>
    <s v="Mature"/>
    <n v="10605"/>
    <n v="8339"/>
    <n v="61"/>
    <n v="95"/>
    <n v="1007475"/>
    <n v="74631"/>
    <n v="932844"/>
    <n v="792205"/>
    <n v="140639"/>
    <n v="0.15076368610400023"/>
    <n v="2"/>
    <n v="19088"/>
    <n v="3.2786885245901641E-2"/>
    <n v="21"/>
    <n v="3.33"/>
    <n v="185390"/>
    <n v="1902979"/>
    <n v="10.26473380441232"/>
    <x v="2"/>
  </r>
  <r>
    <s v="PRD-100"/>
    <x v="99"/>
    <x v="2"/>
    <d v="2023-04-11T00:00:00"/>
    <n v="720"/>
    <s v="Mature"/>
    <n v="15437"/>
    <n v="11022"/>
    <n v="74"/>
    <n v="115"/>
    <n v="1775255"/>
    <n v="256329"/>
    <n v="1518926"/>
    <n v="1267530"/>
    <n v="251396"/>
    <n v="0.16550905047382164"/>
    <n v="6"/>
    <n v="83358"/>
    <n v="8.1081081081081086E-2"/>
    <n v="29"/>
    <n v="3.62"/>
    <n v="235438"/>
    <n v="5526949"/>
    <n v="23.475178178543821"/>
    <x v="2"/>
  </r>
  <r>
    <s v="PRD-101"/>
    <x v="100"/>
    <x v="2"/>
    <d v="2023-07-22T00:00:00"/>
    <n v="618"/>
    <s v="Mature"/>
    <n v="9049"/>
    <n v="5907"/>
    <n v="63"/>
    <n v="95"/>
    <n v="859655"/>
    <n v="162389"/>
    <n v="697266"/>
    <n v="561165"/>
    <n v="136101"/>
    <n v="0.19519236561082859"/>
    <n v="2"/>
    <n v="16288"/>
    <n v="3.1746031746031744E-2"/>
    <n v="25"/>
    <n v="4.04"/>
    <n v="298928"/>
    <n v="2655717"/>
    <n v="8.8841359792324575"/>
    <x v="0"/>
  </r>
  <r>
    <s v="PRD-102"/>
    <x v="101"/>
    <x v="2"/>
    <d v="2022-10-15T00:00:00"/>
    <n v="898"/>
    <s v="Mature"/>
    <n v="5488"/>
    <n v="4171"/>
    <n v="126"/>
    <n v="194"/>
    <n v="1064672"/>
    <n v="132365"/>
    <n v="932307"/>
    <n v="809174"/>
    <n v="123133"/>
    <n v="0.13207344790932601"/>
    <n v="15"/>
    <n v="74085"/>
    <n v="0.11904761904761904"/>
    <n v="56"/>
    <n v="3.57"/>
    <n v="331412"/>
    <n v="753771"/>
    <n v="2.2744227728627813"/>
    <x v="2"/>
  </r>
  <r>
    <s v="PRD-103"/>
    <x v="102"/>
    <x v="2"/>
    <d v="2024-10-03T00:00:00"/>
    <n v="179"/>
    <s v="Mature"/>
    <n v="5344"/>
    <n v="3611"/>
    <n v="159"/>
    <n v="240"/>
    <n v="1282560"/>
    <n v="155383"/>
    <n v="1127177"/>
    <n v="866640"/>
    <n v="260537"/>
    <n v="0.23114116061630072"/>
    <n v="6"/>
    <n v="28854"/>
    <n v="3.7735849056603772E-2"/>
    <n v="62"/>
    <n v="3.72"/>
    <n v="318534"/>
    <n v="1984977"/>
    <n v="6.2316016500593348"/>
    <x v="2"/>
  </r>
  <r>
    <s v="PRD-104"/>
    <x v="103"/>
    <x v="2"/>
    <d v="2023-10-28T00:00:00"/>
    <n v="520"/>
    <s v="Mature"/>
    <n v="15266"/>
    <n v="9952"/>
    <n v="72"/>
    <n v="115"/>
    <n v="1755590"/>
    <n v="272858"/>
    <n v="1482732"/>
    <n v="1144480"/>
    <n v="338252"/>
    <n v="0.22812753754555778"/>
    <n v="6"/>
    <n v="82434"/>
    <n v="8.3333333333333329E-2"/>
    <n v="28"/>
    <n v="3.57"/>
    <n v="502581"/>
    <n v="8156668"/>
    <n v="16.229559016357562"/>
    <x v="2"/>
  </r>
  <r>
    <s v="PRD-105"/>
    <x v="104"/>
    <x v="2"/>
    <d v="2024-12-15T00:00:00"/>
    <n v="106"/>
    <s v="Mature"/>
    <n v="13895"/>
    <n v="10380"/>
    <n v="47"/>
    <n v="70"/>
    <n v="972650"/>
    <n v="122655"/>
    <n v="849995"/>
    <n v="726600"/>
    <n v="123395"/>
    <n v="0.14517144218495404"/>
    <n v="1"/>
    <n v="12505"/>
    <n v="2.1276595744680851E-2"/>
    <n v="22"/>
    <n v="3.66"/>
    <n v="308116"/>
    <n v="3395328"/>
    <n v="11.019641953030677"/>
    <x v="2"/>
  </r>
  <r>
    <s v="PRD-106"/>
    <x v="105"/>
    <x v="2"/>
    <d v="2024-01-01T00:00:00"/>
    <n v="455"/>
    <s v="Mature"/>
    <n v="16343"/>
    <n v="8345"/>
    <n v="30"/>
    <n v="48"/>
    <n v="784464"/>
    <n v="103217"/>
    <n v="681247"/>
    <n v="400560"/>
    <n v="280687"/>
    <n v="0.41201942907638495"/>
    <n v="2"/>
    <n v="29416"/>
    <n v="6.6666666666666666E-2"/>
    <n v="14"/>
    <n v="4.29"/>
    <n v="92302"/>
    <n v="2268159"/>
    <n v="24.573237849667397"/>
    <x v="4"/>
  </r>
  <r>
    <s v="PRD-107"/>
    <x v="106"/>
    <x v="2"/>
    <d v="2023-06-02T00:00:00"/>
    <n v="668"/>
    <s v="Mature"/>
    <n v="6480"/>
    <n v="2972"/>
    <n v="58"/>
    <n v="86"/>
    <n v="557280"/>
    <n v="81924"/>
    <n v="475356"/>
    <n v="255592"/>
    <n v="219764"/>
    <n v="0.46231456003500532"/>
    <n v="6"/>
    <n v="34992"/>
    <n v="0.10344827586206896"/>
    <n v="24"/>
    <n v="4.5599999999999996"/>
    <n v="515596"/>
    <n v="4256436"/>
    <n v="8.2553704838672139"/>
    <x v="2"/>
  </r>
  <r>
    <s v="PRD-108"/>
    <x v="107"/>
    <x v="2"/>
    <d v="2024-08-10T00:00:00"/>
    <n v="233"/>
    <s v="Mature"/>
    <n v="12791"/>
    <n v="9289"/>
    <n v="93"/>
    <n v="141"/>
    <n v="1803531"/>
    <n v="288456"/>
    <n v="1515075"/>
    <n v="1309749"/>
    <n v="205326"/>
    <n v="0.13552200386119498"/>
    <n v="2"/>
    <n v="23022"/>
    <n v="2.1505376344086023E-2"/>
    <n v="41"/>
    <n v="3.73"/>
    <n v="205030"/>
    <n v="2454214"/>
    <n v="11.970023898941617"/>
    <x v="2"/>
  </r>
  <r>
    <s v="PRD-109"/>
    <x v="108"/>
    <x v="2"/>
    <d v="2023-12-25T00:00:00"/>
    <n v="462"/>
    <s v="Mature"/>
    <n v="11177"/>
    <n v="5685"/>
    <n v="74"/>
    <n v="118"/>
    <n v="1318886"/>
    <n v="205605"/>
    <n v="1113281"/>
    <n v="670830"/>
    <n v="442451"/>
    <n v="0.39742975942282316"/>
    <n v="7"/>
    <n v="70413"/>
    <n v="9.45945945945946E-2"/>
    <n v="21"/>
    <n v="4.55"/>
    <n v="649440"/>
    <n v="6634881"/>
    <n v="10.216310975609757"/>
    <x v="2"/>
  </r>
  <r>
    <s v="PRD-110"/>
    <x v="109"/>
    <x v="2"/>
    <d v="2023-06-29T00:00:00"/>
    <n v="641"/>
    <s v="Mature"/>
    <n v="2750"/>
    <n v="1894"/>
    <n v="138"/>
    <n v="216"/>
    <n v="594000"/>
    <n v="99372"/>
    <n v="494628"/>
    <n v="409104"/>
    <n v="85524"/>
    <n v="0.1729056988282103"/>
    <n v="5"/>
    <n v="12375"/>
    <n v="3.6231884057971016E-2"/>
    <n v="55"/>
    <n v="3.71"/>
    <n v="372339"/>
    <n v="901172"/>
    <n v="2.4202997805763027"/>
    <x v="2"/>
  </r>
  <r>
    <s v="PRD-111"/>
    <x v="110"/>
    <x v="2"/>
    <d v="2024-07-03T00:00:00"/>
    <n v="271"/>
    <s v="Mature"/>
    <n v="12751"/>
    <n v="6001"/>
    <n v="47"/>
    <n v="71"/>
    <n v="905321"/>
    <n v="127362"/>
    <n v="777959"/>
    <n v="426071"/>
    <n v="351888"/>
    <n v="0.45232203753668254"/>
    <n v="3"/>
    <n v="34425"/>
    <n v="6.3829787234042548E-2"/>
    <n v="16"/>
    <n v="4.66"/>
    <n v="497718"/>
    <n v="12225139"/>
    <n v="24.562380705540086"/>
    <x v="2"/>
  </r>
  <r>
    <s v="PRD-112"/>
    <x v="111"/>
    <x v="2"/>
    <d v="2024-11-03T00:00:00"/>
    <n v="148"/>
    <s v="Mature"/>
    <n v="9715"/>
    <n v="4383"/>
    <n v="103"/>
    <n v="152"/>
    <n v="1476680"/>
    <n v="179876"/>
    <n v="1296804"/>
    <n v="666216"/>
    <n v="630588"/>
    <n v="0.48626315156338196"/>
    <n v="3"/>
    <n v="26229"/>
    <n v="2.9126213592233011E-2"/>
    <n v="36"/>
    <n v="4.5999999999999996"/>
    <n v="643169"/>
    <n v="8054885"/>
    <n v="12.523745702917896"/>
    <x v="0"/>
  </r>
  <r>
    <s v="PRD-113"/>
    <x v="112"/>
    <x v="2"/>
    <d v="2022-10-30T00:00:00"/>
    <n v="883"/>
    <s v="Mature"/>
    <n v="5750"/>
    <n v="3379"/>
    <n v="130"/>
    <n v="195"/>
    <n v="1121250"/>
    <n v="202736"/>
    <n v="918514"/>
    <n v="658905"/>
    <n v="259609"/>
    <n v="0.28264022105270031"/>
    <n v="4"/>
    <n v="20700"/>
    <n v="3.0769230769230771E-2"/>
    <n v="51"/>
    <n v="4.21"/>
    <n v="192799"/>
    <n v="801679"/>
    <n v="4.1581076665335397"/>
    <x v="0"/>
  </r>
  <r>
    <s v="PRD-114"/>
    <x v="113"/>
    <x v="2"/>
    <d v="2024-08-29T00:00:00"/>
    <n v="214"/>
    <s v="Mature"/>
    <n v="17704"/>
    <n v="12650"/>
    <n v="72"/>
    <n v="100"/>
    <n v="1770400"/>
    <n v="319715"/>
    <n v="1450685"/>
    <n v="1265000"/>
    <n v="185685"/>
    <n v="0.12799815259687664"/>
    <n v="4"/>
    <n v="63732"/>
    <n v="5.5555555555555552E-2"/>
    <n v="22"/>
    <n v="3.57"/>
    <n v="434873"/>
    <n v="9804488"/>
    <n v="22.545635162449727"/>
    <x v="2"/>
  </r>
  <r>
    <s v="PRD-115"/>
    <x v="114"/>
    <x v="2"/>
    <d v="2024-01-16T00:00:00"/>
    <n v="440"/>
    <s v="Mature"/>
    <n v="19407"/>
    <n v="16216"/>
    <n v="29"/>
    <n v="43"/>
    <n v="834501"/>
    <n v="155279"/>
    <n v="679222"/>
    <n v="697288"/>
    <n v="-18066"/>
    <n v="-2.6598078389687023E-2"/>
    <n v="5"/>
    <n v="87330"/>
    <n v="0.17241379310344829"/>
    <n v="13"/>
    <n v="2.77"/>
    <n v="518545"/>
    <n v="14175221"/>
    <n v="27.33653009864139"/>
    <x v="2"/>
  </r>
  <r>
    <s v="PRD-116"/>
    <x v="115"/>
    <x v="2"/>
    <d v="2023-09-19T00:00:00"/>
    <n v="559"/>
    <s v="Mature"/>
    <n v="5475"/>
    <n v="4745"/>
    <n v="77"/>
    <n v="118"/>
    <n v="646050"/>
    <n v="54220"/>
    <n v="591830"/>
    <n v="559910"/>
    <n v="31920"/>
    <n v="5.3934406839801968E-2"/>
    <n v="9"/>
    <n v="44343"/>
    <n v="0.11688311688311688"/>
    <n v="29"/>
    <n v="3.21"/>
    <n v="115271"/>
    <n v="284547"/>
    <n v="2.4685046542495512"/>
    <x v="2"/>
  </r>
  <r>
    <s v="PRD-117"/>
    <x v="116"/>
    <x v="2"/>
    <d v="2024-02-07T00:00:00"/>
    <n v="418"/>
    <s v="Mature"/>
    <n v="6826"/>
    <n v="3073"/>
    <n v="109"/>
    <n v="169"/>
    <n v="1153594"/>
    <n v="184901"/>
    <n v="968693"/>
    <n v="519337"/>
    <n v="449356"/>
    <n v="0.46387864885985547"/>
    <n v="8"/>
    <n v="49144"/>
    <n v="7.3394495412844041E-2"/>
    <n v="43"/>
    <n v="4.4800000000000004"/>
    <n v="543988"/>
    <n v="4772724"/>
    <n v="8.7735832408067829"/>
    <x v="2"/>
  </r>
  <r>
    <s v="PRD-118"/>
    <x v="117"/>
    <x v="2"/>
    <d v="2024-08-05T00:00:00"/>
    <n v="238"/>
    <s v="Mature"/>
    <n v="1017"/>
    <n v="467"/>
    <n v="131"/>
    <n v="193"/>
    <n v="196281"/>
    <n v="24972"/>
    <n v="171309"/>
    <n v="90131"/>
    <n v="81178"/>
    <n v="0.47386885686099389"/>
    <n v="8"/>
    <n v="7320"/>
    <n v="6.1068702290076333E-2"/>
    <n v="45"/>
    <n v="4.4400000000000004"/>
    <n v="688759"/>
    <n v="933110"/>
    <n v="1.3547699558190891"/>
    <x v="2"/>
  </r>
  <r>
    <s v="PRD-119"/>
    <x v="118"/>
    <x v="2"/>
    <d v="2023-07-21T00:00:00"/>
    <n v="619"/>
    <s v="Mature"/>
    <n v="16575"/>
    <n v="8705"/>
    <n v="51"/>
    <n v="75"/>
    <n v="1243125"/>
    <n v="228947"/>
    <n v="1014178"/>
    <n v="652875"/>
    <n v="361303"/>
    <n v="0.35625205831717904"/>
    <n v="3"/>
    <n v="44751"/>
    <n v="5.8823529411764705E-2"/>
    <n v="22"/>
    <n v="4.1399999999999997"/>
    <n v="202131"/>
    <n v="2011650"/>
    <n v="9.9522092108583049"/>
    <x v="2"/>
  </r>
  <r>
    <s v="PRD-120"/>
    <x v="119"/>
    <x v="2"/>
    <d v="2024-10-08T00:00:00"/>
    <n v="174"/>
    <s v="Mature"/>
    <n v="8511"/>
    <n v="5064"/>
    <n v="58"/>
    <n v="84"/>
    <n v="714924"/>
    <n v="92812"/>
    <n v="622112"/>
    <n v="425376"/>
    <n v="196736"/>
    <n v="0.31623887660099786"/>
    <n v="10"/>
    <n v="76590"/>
    <n v="0.17241379310344829"/>
    <n v="25"/>
    <n v="3.94"/>
    <n v="238203"/>
    <n v="2710343"/>
    <n v="11.378290785590442"/>
    <x v="2"/>
  </r>
  <r>
    <s v="PRD-121"/>
    <x v="120"/>
    <x v="2"/>
    <d v="2022-11-04T00:00:00"/>
    <n v="878"/>
    <s v="Mature"/>
    <n v="10422"/>
    <n v="5681"/>
    <n v="48"/>
    <n v="70"/>
    <n v="729540"/>
    <n v="109259"/>
    <n v="620281"/>
    <n v="397670"/>
    <n v="222611"/>
    <n v="0.358887342994546"/>
    <n v="4"/>
    <n v="37516"/>
    <n v="8.3333333333333329E-2"/>
    <n v="23"/>
    <n v="4.1500000000000004"/>
    <n v="648725"/>
    <n v="7756865"/>
    <n v="11.957092758873173"/>
    <x v="2"/>
  </r>
  <r>
    <s v="PRD-122"/>
    <x v="121"/>
    <x v="2"/>
    <d v="2024-12-14T00:00:00"/>
    <n v="107"/>
    <s v="Mature"/>
    <n v="6054"/>
    <n v="4901"/>
    <n v="80"/>
    <n v="116"/>
    <n v="702264"/>
    <n v="133626"/>
    <n v="568638"/>
    <n v="568516"/>
    <n v="122"/>
    <n v="2.1454774390737165E-4"/>
    <n v="3"/>
    <n v="16344"/>
    <n v="3.7499999999999999E-2"/>
    <n v="31"/>
    <n v="3.35"/>
    <n v="201732"/>
    <n v="1169990"/>
    <n v="5.7997243868102233"/>
    <x v="2"/>
  </r>
  <r>
    <s v="PRD-123"/>
    <x v="122"/>
    <x v="2"/>
    <d v="2023-07-30T00:00:00"/>
    <n v="610"/>
    <s v="Mature"/>
    <n v="16088"/>
    <n v="7475"/>
    <n v="77"/>
    <n v="118"/>
    <n v="1898384"/>
    <n v="275427"/>
    <n v="1622957"/>
    <n v="882050"/>
    <n v="740907"/>
    <n v="0.45651671609290945"/>
    <n v="5"/>
    <n v="72395"/>
    <n v="6.4935064935064929E-2"/>
    <n v="28"/>
    <n v="4.3899999999999997"/>
    <n v="420201"/>
    <n v="9524813"/>
    <n v="22.667278278728514"/>
    <x v="2"/>
  </r>
  <r>
    <s v="PRD-124"/>
    <x v="123"/>
    <x v="2"/>
    <d v="2024-04-23T00:00:00"/>
    <n v="342"/>
    <s v="Mature"/>
    <n v="13321"/>
    <n v="6190"/>
    <n v="61"/>
    <n v="82"/>
    <n v="1092322"/>
    <n v="154385"/>
    <n v="937937"/>
    <n v="507580"/>
    <n v="430357"/>
    <n v="0.45883358903636384"/>
    <n v="11"/>
    <n v="131868"/>
    <n v="0.18032786885245902"/>
    <n v="26"/>
    <n v="4.54"/>
    <n v="394126"/>
    <n v="8861555"/>
    <n v="22.484066009347263"/>
    <x v="2"/>
  </r>
  <r>
    <s v="PRD-125"/>
    <x v="124"/>
    <x v="2"/>
    <d v="2024-07-15T00:00:00"/>
    <n v="259"/>
    <s v="Mature"/>
    <n v="19453"/>
    <n v="14172"/>
    <n v="44"/>
    <n v="71"/>
    <n v="1381163"/>
    <n v="236883"/>
    <n v="1144280"/>
    <n v="1006212"/>
    <n v="138068"/>
    <n v="0.12065927919739924"/>
    <n v="0"/>
    <n v="0"/>
    <n v="0"/>
    <n v="12"/>
    <n v="3.54"/>
    <n v="137204"/>
    <n v="2751680"/>
    <n v="20.055391971079562"/>
    <x v="2"/>
  </r>
  <r>
    <s v="PRD-126"/>
    <x v="125"/>
    <x v="2"/>
    <d v="2023-05-15T00:00:00"/>
    <n v="686"/>
    <s v="Mature"/>
    <n v="11047"/>
    <n v="5392"/>
    <n v="104"/>
    <n v="153"/>
    <n v="1690191"/>
    <n v="249272"/>
    <n v="1440919"/>
    <n v="824976"/>
    <n v="615943"/>
    <n v="0.42746538840836995"/>
    <n v="7"/>
    <n v="69594"/>
    <n v="6.7307692307692304E-2"/>
    <n v="46"/>
    <n v="4.3499999999999996"/>
    <n v="706297"/>
    <n v="7938233"/>
    <n v="11.239227973501233"/>
    <x v="2"/>
  </r>
  <r>
    <s v="PRD-127"/>
    <x v="126"/>
    <x v="2"/>
    <d v="2022-11-08T00:00:00"/>
    <n v="874"/>
    <s v="Mature"/>
    <n v="4122"/>
    <n v="3450"/>
    <n v="154"/>
    <n v="226"/>
    <n v="931572"/>
    <n v="111627"/>
    <n v="819945"/>
    <n v="779700"/>
    <n v="40245"/>
    <n v="4.9082560415637633E-2"/>
    <n v="6"/>
    <n v="22254"/>
    <n v="3.896103896103896E-2"/>
    <n v="55"/>
    <n v="3.06"/>
    <n v="79637"/>
    <n v="466587"/>
    <n v="5.8589223602094505"/>
    <x v="2"/>
  </r>
  <r>
    <s v="PRD-128"/>
    <x v="127"/>
    <x v="2"/>
    <d v="2024-10-30T00:00:00"/>
    <n v="152"/>
    <s v="Mature"/>
    <n v="12456"/>
    <n v="7452"/>
    <n v="59"/>
    <n v="91"/>
    <n v="1133496"/>
    <n v="143545"/>
    <n v="989951"/>
    <n v="678132"/>
    <n v="311819"/>
    <n v="0.31498427699956866"/>
    <n v="4"/>
    <n v="44840"/>
    <n v="6.7796610169491525E-2"/>
    <n v="20"/>
    <n v="3.85"/>
    <n v="85557"/>
    <n v="1936989"/>
    <n v="22.639748939303622"/>
    <x v="2"/>
  </r>
  <r>
    <s v="PRD-129"/>
    <x v="128"/>
    <x v="2"/>
    <d v="2024-06-22T00:00:00"/>
    <n v="282"/>
    <s v="Mature"/>
    <n v="3543"/>
    <n v="1859"/>
    <n v="119"/>
    <n v="179"/>
    <n v="634197"/>
    <n v="107190"/>
    <n v="527007"/>
    <n v="332761"/>
    <n v="194246"/>
    <n v="0.36858333950023436"/>
    <n v="12"/>
    <n v="38256"/>
    <n v="0.10084033613445378"/>
    <n v="54"/>
    <n v="4.28"/>
    <n v="600239"/>
    <n v="1683216"/>
    <n v="2.8042429765476751"/>
    <x v="2"/>
  </r>
  <r>
    <s v="PRD-130"/>
    <x v="129"/>
    <x v="2"/>
    <d v="2024-09-02T00:00:00"/>
    <n v="210"/>
    <s v="Mature"/>
    <n v="12183"/>
    <n v="10420"/>
    <n v="63"/>
    <n v="92"/>
    <n v="1120836"/>
    <n v="144402"/>
    <n v="976434"/>
    <n v="958640"/>
    <n v="17794"/>
    <n v="1.8223453914959945E-2"/>
    <n v="4"/>
    <n v="43856"/>
    <n v="6.3492063492063489E-2"/>
    <n v="22"/>
    <n v="3.2"/>
    <n v="316961"/>
    <n v="5011271"/>
    <n v="15.810370992014791"/>
    <x v="2"/>
  </r>
  <r>
    <s v="PRD-131"/>
    <x v="130"/>
    <x v="2"/>
    <d v="2024-01-09T00:00:00"/>
    <n v="447"/>
    <s v="Mature"/>
    <n v="4301"/>
    <n v="2034"/>
    <n v="85"/>
    <n v="126"/>
    <n v="541926"/>
    <n v="95553"/>
    <n v="446373"/>
    <n v="256284"/>
    <n v="190089"/>
    <n v="0.4258523701030304"/>
    <n v="4"/>
    <n v="15480"/>
    <n v="4.7058823529411764E-2"/>
    <n v="36"/>
    <n v="4.43"/>
    <n v="518311"/>
    <n v="2071296"/>
    <n v="3.9962416387072626"/>
    <x v="0"/>
  </r>
  <r>
    <s v="PRD-132"/>
    <x v="131"/>
    <x v="2"/>
    <d v="2024-12-14T00:00:00"/>
    <n v="107"/>
    <s v="Mature"/>
    <n v="8280"/>
    <n v="3767"/>
    <n v="124"/>
    <n v="185"/>
    <n v="1531800"/>
    <n v="194437"/>
    <n v="1337363"/>
    <n v="696895"/>
    <n v="640468"/>
    <n v="0.47890363349367376"/>
    <n v="4"/>
    <n v="29808"/>
    <n v="3.2258064516129031E-2"/>
    <n v="39"/>
    <n v="4.5599999999999996"/>
    <n v="285995"/>
    <n v="1597851"/>
    <n v="5.5869892830294239"/>
    <x v="0"/>
  </r>
  <r>
    <s v="PRD-133"/>
    <x v="132"/>
    <x v="2"/>
    <d v="2024-12-16T00:00:00"/>
    <n v="105"/>
    <s v="Mature"/>
    <n v="11065"/>
    <n v="6102"/>
    <n v="50"/>
    <n v="75"/>
    <n v="829875"/>
    <n v="81655"/>
    <n v="748220"/>
    <n v="457650"/>
    <n v="290570"/>
    <n v="0.38834834674293656"/>
    <n v="9"/>
    <n v="89622"/>
    <n v="0.18"/>
    <n v="22"/>
    <n v="4.18"/>
    <n v="614156"/>
    <n v="8044571"/>
    <n v="13.098579188349539"/>
    <x v="2"/>
  </r>
  <r>
    <s v="PRD-134"/>
    <x v="133"/>
    <x v="2"/>
    <d v="2023-01-21T00:00:00"/>
    <n v="800"/>
    <s v="Mature"/>
    <n v="8512"/>
    <n v="4602"/>
    <n v="103"/>
    <n v="162"/>
    <n v="1378944"/>
    <n v="223928"/>
    <n v="1155016"/>
    <n v="745524"/>
    <n v="409492"/>
    <n v="0.35453361685032936"/>
    <n v="5"/>
    <n v="38300"/>
    <n v="4.8543689320388349E-2"/>
    <n v="46"/>
    <n v="4.29"/>
    <n v="111303"/>
    <n v="1389567"/>
    <n v="12.484542195628149"/>
    <x v="0"/>
  </r>
  <r>
    <s v="PRD-135"/>
    <x v="134"/>
    <x v="2"/>
    <d v="2024-10-29T00:00:00"/>
    <n v="153"/>
    <s v="Mature"/>
    <n v="8994"/>
    <n v="7882"/>
    <n v="117"/>
    <n v="170"/>
    <n v="1528980"/>
    <n v="264532"/>
    <n v="1264448"/>
    <n v="1339940"/>
    <n v="-75492"/>
    <n v="-5.9703522802044842E-2"/>
    <n v="5"/>
    <n v="40470"/>
    <n v="4.2735042735042736E-2"/>
    <n v="42"/>
    <n v="3.06"/>
    <n v="561046"/>
    <n v="6609234"/>
    <n v="11.780199841011253"/>
    <x v="2"/>
  </r>
  <r>
    <s v="PRD-136"/>
    <x v="135"/>
    <x v="2"/>
    <d v="2024-06-21T00:00:00"/>
    <n v="283"/>
    <s v="Mature"/>
    <n v="15110"/>
    <n v="10173"/>
    <n v="72"/>
    <n v="104"/>
    <n v="1571440"/>
    <n v="161983"/>
    <n v="1409457"/>
    <n v="1057992"/>
    <n v="351465"/>
    <n v="0.24936198834019058"/>
    <n v="10"/>
    <n v="135990"/>
    <n v="0.1388888888888889"/>
    <n v="29"/>
    <n v="3.88"/>
    <n v="277592"/>
    <n v="5690146"/>
    <n v="20.498234819447248"/>
    <x v="2"/>
  </r>
  <r>
    <s v="PRD-137"/>
    <x v="136"/>
    <x v="2"/>
    <d v="2023-11-16T00:00:00"/>
    <n v="501"/>
    <s v="Mature"/>
    <n v="2292"/>
    <n v="1032"/>
    <n v="137"/>
    <n v="211"/>
    <n v="483612"/>
    <n v="64602"/>
    <n v="419010"/>
    <n v="217752"/>
    <n v="201258"/>
    <n v="0.48031789217441112"/>
    <n v="4"/>
    <n v="8248"/>
    <n v="2.9197080291970802E-2"/>
    <n v="49"/>
    <n v="4.51"/>
    <n v="655140"/>
    <n v="1728444"/>
    <n v="2.6382818939463322"/>
    <x v="0"/>
  </r>
  <r>
    <s v="PRD-138"/>
    <x v="137"/>
    <x v="2"/>
    <d v="2022-12-07T00:00:00"/>
    <n v="845"/>
    <s v="Mature"/>
    <n v="10853"/>
    <n v="6796"/>
    <n v="53"/>
    <n v="80"/>
    <n v="868240"/>
    <n v="173010"/>
    <n v="695230"/>
    <n v="543680"/>
    <n v="151550"/>
    <n v="0.21798541489866663"/>
    <n v="1"/>
    <n v="9767"/>
    <n v="1.8867924528301886E-2"/>
    <n v="20"/>
    <n v="3.88"/>
    <n v="596193"/>
    <n v="7803719"/>
    <n v="13.089249622186104"/>
    <x v="2"/>
  </r>
  <r>
    <s v="PRD-139"/>
    <x v="138"/>
    <x v="2"/>
    <d v="2024-03-01T00:00:00"/>
    <n v="395"/>
    <s v="Mature"/>
    <n v="17684"/>
    <n v="13568"/>
    <n v="22"/>
    <n v="35"/>
    <n v="618940"/>
    <n v="93818"/>
    <n v="525122"/>
    <n v="474880"/>
    <n v="50242"/>
    <n v="9.5676814149854697E-2"/>
    <n v="0"/>
    <n v="0"/>
    <n v="0"/>
    <n v="10"/>
    <n v="3.3"/>
    <n v="683678"/>
    <n v="13054607"/>
    <n v="19.094671760682662"/>
    <x v="2"/>
  </r>
  <r>
    <s v="PRD-140"/>
    <x v="139"/>
    <x v="2"/>
    <d v="2023-05-22T00:00:00"/>
    <n v="679"/>
    <s v="Mature"/>
    <n v="7344"/>
    <n v="5188"/>
    <n v="112"/>
    <n v="170"/>
    <n v="1248480"/>
    <n v="200223"/>
    <n v="1048257"/>
    <n v="881960"/>
    <n v="166297"/>
    <n v="0.15864144002854261"/>
    <n v="9"/>
    <n v="59481"/>
    <n v="8.0357142857142863E-2"/>
    <n v="38"/>
    <n v="3.55"/>
    <n v="372613"/>
    <n v="3161187"/>
    <n v="8.4838344341179717"/>
    <x v="2"/>
  </r>
  <r>
    <s v="PRD-141"/>
    <x v="140"/>
    <x v="2"/>
    <d v="2023-10-19T00:00:00"/>
    <n v="529"/>
    <s v="Mature"/>
    <n v="10539"/>
    <n v="6330"/>
    <n v="78"/>
    <n v="111"/>
    <n v="1169829"/>
    <n v="210098"/>
    <n v="959731"/>
    <n v="702630"/>
    <n v="257101"/>
    <n v="0.2678886062865532"/>
    <n v="7"/>
    <n v="66395"/>
    <n v="8.9743589743589744E-2"/>
    <n v="28"/>
    <n v="4"/>
    <n v="121753"/>
    <n v="1647931"/>
    <n v="13.535034044335664"/>
    <x v="2"/>
  </r>
  <r>
    <s v="PRD-142"/>
    <x v="141"/>
    <x v="2"/>
    <d v="2024-10-26T00:00:00"/>
    <n v="156"/>
    <s v="Mature"/>
    <n v="14450"/>
    <n v="12377"/>
    <n v="30"/>
    <n v="40"/>
    <n v="578000"/>
    <n v="101545"/>
    <n v="476455"/>
    <n v="495080"/>
    <n v="-18625"/>
    <n v="-3.9090785068894227E-2"/>
    <n v="2"/>
    <n v="26010"/>
    <n v="6.6666666666666666E-2"/>
    <n v="18"/>
    <n v="3.14"/>
    <n v="516876"/>
    <n v="7892981"/>
    <n v="15.270550383457541"/>
    <x v="2"/>
  </r>
  <r>
    <s v="PRD-143"/>
    <x v="142"/>
    <x v="2"/>
    <d v="2024-08-12T00:00:00"/>
    <n v="231"/>
    <s v="Mature"/>
    <n v="13760"/>
    <n v="10194"/>
    <n v="99"/>
    <n v="148"/>
    <n v="2036480"/>
    <n v="259849"/>
    <n v="1776631"/>
    <n v="1508712"/>
    <n v="267919"/>
    <n v="0.1508017140306569"/>
    <n v="7"/>
    <n v="86688"/>
    <n v="7.0707070707070704E-2"/>
    <n v="35"/>
    <n v="3.6"/>
    <n v="544182"/>
    <n v="10408989"/>
    <n v="19.127771591122087"/>
    <x v="2"/>
  </r>
  <r>
    <s v="PRD-144"/>
    <x v="143"/>
    <x v="2"/>
    <d v="2024-05-14T00:00:00"/>
    <n v="321"/>
    <s v="Mature"/>
    <n v="10537"/>
    <n v="7815"/>
    <n v="57"/>
    <n v="88"/>
    <n v="927256"/>
    <n v="111090"/>
    <n v="816166"/>
    <n v="687720"/>
    <n v="128446"/>
    <n v="0.15737729824570001"/>
    <n v="2"/>
    <n v="18966"/>
    <n v="3.5087719298245612E-2"/>
    <n v="22"/>
    <n v="3.27"/>
    <n v="645953"/>
    <n v="7552366"/>
    <n v="11.691819683475423"/>
    <x v="2"/>
  </r>
  <r>
    <s v="PRD-145"/>
    <x v="144"/>
    <x v="2"/>
    <d v="2023-07-13T00:00:00"/>
    <n v="627"/>
    <s v="Mature"/>
    <n v="12343"/>
    <n v="10470"/>
    <n v="36"/>
    <n v="55"/>
    <n v="678865"/>
    <n v="99382"/>
    <n v="579483"/>
    <n v="575850"/>
    <n v="3633"/>
    <n v="6.269381500406397E-3"/>
    <n v="1"/>
    <n v="11108"/>
    <n v="2.7777777777777776E-2"/>
    <n v="15"/>
    <n v="3"/>
    <n v="283783"/>
    <n v="4972653"/>
    <n v="17.522730396112522"/>
    <x v="2"/>
  </r>
  <r>
    <s v="PRD-146"/>
    <x v="145"/>
    <x v="2"/>
    <d v="2024-08-04T00:00:00"/>
    <n v="239"/>
    <s v="Mature"/>
    <n v="1159"/>
    <n v="725"/>
    <n v="146"/>
    <n v="216"/>
    <n v="250344"/>
    <n v="33744"/>
    <n v="216600"/>
    <n v="156600"/>
    <n v="60000"/>
    <n v="0.2770083102493075"/>
    <n v="14"/>
    <n v="14602"/>
    <n v="9.5890410958904104E-2"/>
    <n v="69"/>
    <n v="4.18"/>
    <n v="203039"/>
    <n v="322748"/>
    <n v="1.5895862371268574"/>
    <x v="2"/>
  </r>
  <r>
    <s v="PRD-147"/>
    <x v="146"/>
    <x v="2"/>
    <d v="2023-02-24T00:00:00"/>
    <n v="766"/>
    <s v="Mature"/>
    <n v="11801"/>
    <n v="10588"/>
    <n v="80"/>
    <n v="114"/>
    <n v="1345314"/>
    <n v="188905"/>
    <n v="1156409"/>
    <n v="1207032"/>
    <n v="-50623"/>
    <n v="-4.3776034257775577E-2"/>
    <n v="12"/>
    <n v="127440"/>
    <n v="0.15"/>
    <n v="32"/>
    <n v="2.78"/>
    <n v="306171"/>
    <n v="3374036"/>
    <n v="11.02010314497454"/>
    <x v="2"/>
  </r>
  <r>
    <s v="PRD-148"/>
    <x v="147"/>
    <x v="2"/>
    <d v="2023-12-04T00:00:00"/>
    <n v="483"/>
    <s v="Mature"/>
    <n v="17681"/>
    <n v="14201"/>
    <n v="37"/>
    <n v="56"/>
    <n v="990136"/>
    <n v="184467"/>
    <n v="805669"/>
    <n v="795256"/>
    <n v="10413"/>
    <n v="1.2924662609582844E-2"/>
    <n v="4"/>
    <n v="63648"/>
    <n v="0.10810810810810811"/>
    <n v="14"/>
    <n v="3.57"/>
    <n v="142500"/>
    <n v="2777947"/>
    <n v="19.494364912280702"/>
    <x v="2"/>
  </r>
  <r>
    <s v="PRD-149"/>
    <x v="148"/>
    <x v="2"/>
    <d v="2022-11-23T00:00:00"/>
    <n v="859"/>
    <s v="Mature"/>
    <n v="19836"/>
    <n v="17094"/>
    <n v="31"/>
    <n v="43"/>
    <n v="852948"/>
    <n v="86344"/>
    <n v="766604"/>
    <n v="735042"/>
    <n v="31562"/>
    <n v="4.1171191384339244E-2"/>
    <n v="3"/>
    <n v="53556"/>
    <n v="9.6774193548387094E-2"/>
    <n v="15"/>
    <n v="2.83"/>
    <n v="640593"/>
    <n v="14982098"/>
    <n v="23.387857812995147"/>
    <x v="2"/>
  </r>
  <r>
    <s v="PRD-150"/>
    <x v="149"/>
    <x v="2"/>
    <d v="2023-11-29T00:00:00"/>
    <n v="488"/>
    <s v="Mature"/>
    <n v="16213"/>
    <n v="10162"/>
    <n v="76"/>
    <n v="115"/>
    <n v="1864495"/>
    <n v="317309"/>
    <n v="1547186"/>
    <n v="1168630"/>
    <n v="378556"/>
    <n v="0.24467387890014516"/>
    <n v="6"/>
    <n v="87546"/>
    <n v="7.8947368421052627E-2"/>
    <n v="28"/>
    <n v="3.86"/>
    <n v="102077"/>
    <n v="2725584"/>
    <n v="26.701254935000048"/>
    <x v="2"/>
  </r>
  <r>
    <s v="PRD-151"/>
    <x v="150"/>
    <x v="2"/>
    <d v="2023-08-12T00:00:00"/>
    <n v="597"/>
    <s v="Mature"/>
    <n v="16244"/>
    <n v="10767"/>
    <n v="76"/>
    <n v="116"/>
    <n v="1884304"/>
    <n v="248494"/>
    <n v="1635810"/>
    <n v="1248972"/>
    <n v="386838"/>
    <n v="0.23648100940818309"/>
    <n v="9"/>
    <n v="131571"/>
    <n v="0.11842105263157894"/>
    <n v="31"/>
    <n v="3.73"/>
    <n v="441928"/>
    <n v="7926841"/>
    <n v="17.93695126807987"/>
    <x v="2"/>
  </r>
  <r>
    <s v="PRD-152"/>
    <x v="151"/>
    <x v="2"/>
    <d v="2023-07-24T00:00:00"/>
    <n v="616"/>
    <s v="Mature"/>
    <n v="4795"/>
    <n v="2666"/>
    <n v="124"/>
    <n v="189"/>
    <n v="906255"/>
    <n v="137782"/>
    <n v="768473"/>
    <n v="503874"/>
    <n v="264599"/>
    <n v="0.34431788755102649"/>
    <n v="10"/>
    <n v="43150"/>
    <n v="8.0645161290322578E-2"/>
    <n v="52"/>
    <n v="4.24"/>
    <n v="364917"/>
    <n v="1920439"/>
    <n v="5.262673429848431"/>
    <x v="2"/>
  </r>
  <r>
    <s v="PRD-153"/>
    <x v="152"/>
    <x v="2"/>
    <d v="2024-08-15T00:00:00"/>
    <n v="228"/>
    <s v="Mature"/>
    <n v="7839"/>
    <n v="5290"/>
    <n v="88"/>
    <n v="127"/>
    <n v="995553"/>
    <n v="197423"/>
    <n v="798130"/>
    <n v="671830"/>
    <n v="126300"/>
    <n v="0.15824489744778419"/>
    <n v="7"/>
    <n v="49385"/>
    <n v="7.9545454545454544E-2"/>
    <n v="26"/>
    <n v="4"/>
    <n v="120397"/>
    <n v="628365"/>
    <n v="5.2191084495460851"/>
    <x v="2"/>
  </r>
  <r>
    <s v="PRD-154"/>
    <x v="153"/>
    <x v="1"/>
    <d v="2024-05-12T00:00:00"/>
    <n v="323"/>
    <s v="Mature"/>
    <n v="2850"/>
    <n v="1459"/>
    <n v="81"/>
    <n v="122"/>
    <n v="347700"/>
    <n v="58903"/>
    <n v="288797"/>
    <n v="177998"/>
    <n v="110799"/>
    <n v="0.38365703244839799"/>
    <n v="11"/>
    <n v="28215"/>
    <n v="0.13580246913580246"/>
    <n v="31"/>
    <n v="4.3099999999999996"/>
    <n v="571080"/>
    <n v="1836770"/>
    <n v="3.216309448763746"/>
    <x v="2"/>
  </r>
  <r>
    <s v="PRD-155"/>
    <x v="154"/>
    <x v="1"/>
    <d v="2024-06-24T00:00:00"/>
    <n v="280"/>
    <s v="Mature"/>
    <n v="10941"/>
    <n v="9000"/>
    <n v="87"/>
    <n v="133"/>
    <n v="1455153"/>
    <n v="133567"/>
    <n v="1321586"/>
    <n v="1197000"/>
    <n v="124586"/>
    <n v="9.4270066420195128E-2"/>
    <n v="8"/>
    <n v="78768"/>
    <n v="9.1954022988505746E-2"/>
    <n v="30"/>
    <n v="3.18"/>
    <n v="624799"/>
    <n v="7123565"/>
    <n v="11.401370680810949"/>
    <x v="2"/>
  </r>
  <r>
    <s v="PRD-156"/>
    <x v="155"/>
    <x v="1"/>
    <d v="2024-03-20T00:00:00"/>
    <n v="376"/>
    <s v="Mature"/>
    <n v="14575"/>
    <n v="9255"/>
    <n v="95"/>
    <n v="146"/>
    <n v="2127950"/>
    <n v="350157"/>
    <n v="1777793"/>
    <n v="1351230"/>
    <n v="426563"/>
    <n v="0.23993963301689231"/>
    <n v="4"/>
    <n v="52468"/>
    <n v="4.2105263157894736E-2"/>
    <n v="40"/>
    <n v="3.91"/>
    <n v="597119"/>
    <n v="11207311"/>
    <n v="18.768974023603334"/>
    <x v="2"/>
  </r>
  <r>
    <s v="PRD-157"/>
    <x v="156"/>
    <x v="1"/>
    <d v="2023-01-25T00:00:00"/>
    <n v="796"/>
    <s v="Mature"/>
    <n v="2801"/>
    <n v="1877"/>
    <n v="177"/>
    <n v="274"/>
    <n v="767474"/>
    <n v="91949"/>
    <n v="675525"/>
    <n v="514298"/>
    <n v="161227"/>
    <n v="0.23866918322785982"/>
    <n v="22"/>
    <n v="55440"/>
    <n v="0.12429378531073447"/>
    <n v="74"/>
    <n v="3.69"/>
    <n v="486367"/>
    <n v="2032122"/>
    <n v="4.1781658706285585"/>
    <x v="2"/>
  </r>
  <r>
    <s v="PRD-158"/>
    <x v="157"/>
    <x v="1"/>
    <d v="2023-06-20T00:00:00"/>
    <n v="650"/>
    <s v="Mature"/>
    <n v="8041"/>
    <n v="6864"/>
    <n v="78"/>
    <n v="114"/>
    <n v="916674"/>
    <n v="164886"/>
    <n v="751788"/>
    <n v="782496"/>
    <n v="-30708"/>
    <n v="-4.0846621653976921E-2"/>
    <n v="1"/>
    <n v="7236"/>
    <n v="1.282051282051282E-2"/>
    <n v="38"/>
    <n v="2.89"/>
    <n v="602100"/>
    <n v="5801185"/>
    <n v="9.6349194485965786"/>
    <x v="2"/>
  </r>
  <r>
    <s v="PRD-159"/>
    <x v="158"/>
    <x v="1"/>
    <d v="2024-11-17T00:00:00"/>
    <n v="134"/>
    <s v="Mature"/>
    <n v="15501"/>
    <n v="8688"/>
    <n v="69"/>
    <n v="103"/>
    <n v="1596603"/>
    <n v="190997"/>
    <n v="1405606"/>
    <n v="894864"/>
    <n v="510742"/>
    <n v="0.36336071416883536"/>
    <n v="4"/>
    <n v="55800"/>
    <n v="5.7971014492753624E-2"/>
    <n v="19"/>
    <n v="4.21"/>
    <n v="447271"/>
    <n v="10208245"/>
    <n v="22.823400131016765"/>
    <x v="2"/>
  </r>
  <r>
    <s v="PRD-160"/>
    <x v="159"/>
    <x v="1"/>
    <d v="2024-07-04T00:00:00"/>
    <n v="270"/>
    <s v="Mature"/>
    <n v="10889"/>
    <n v="5565"/>
    <n v="82"/>
    <n v="120"/>
    <n v="1306680"/>
    <n v="161284"/>
    <n v="1145396"/>
    <n v="667800"/>
    <n v="477596"/>
    <n v="0.41697020069914686"/>
    <n v="0"/>
    <n v="0"/>
    <n v="0"/>
    <n v="27"/>
    <n v="4.33"/>
    <n v="134357"/>
    <n v="1632302"/>
    <n v="12.148991120671049"/>
    <x v="0"/>
  </r>
  <r>
    <s v="PRD-161"/>
    <x v="160"/>
    <x v="1"/>
    <d v="2024-03-03T00:00:00"/>
    <n v="393"/>
    <s v="Mature"/>
    <n v="19678"/>
    <n v="17212"/>
    <n v="50"/>
    <n v="77"/>
    <n v="1515206"/>
    <n v="236864"/>
    <n v="1278342"/>
    <n v="1325324"/>
    <n v="-46982"/>
    <n v="-3.6752293204791835E-2"/>
    <n v="1"/>
    <n v="17710"/>
    <n v="0.02"/>
    <n v="23"/>
    <n v="3.13"/>
    <n v="128198"/>
    <n v="2524041"/>
    <n v="19.688614486965474"/>
    <x v="2"/>
  </r>
  <r>
    <s v="PRD-162"/>
    <x v="161"/>
    <x v="1"/>
    <d v="2024-01-17T00:00:00"/>
    <n v="439"/>
    <s v="Mature"/>
    <n v="19765"/>
    <n v="13278"/>
    <n v="38"/>
    <n v="55"/>
    <n v="1087075"/>
    <n v="149744"/>
    <n v="937331"/>
    <n v="730290"/>
    <n v="207041"/>
    <n v="0.22088355127484313"/>
    <n v="0"/>
    <n v="0"/>
    <n v="0"/>
    <n v="15"/>
    <n v="3.87"/>
    <n v="137309"/>
    <n v="2067038"/>
    <n v="15.053914892687297"/>
    <x v="2"/>
  </r>
  <r>
    <s v="PRD-163"/>
    <x v="162"/>
    <x v="1"/>
    <d v="2024-01-31T00:00:00"/>
    <n v="425"/>
    <s v="Mature"/>
    <n v="6467"/>
    <n v="4884"/>
    <n v="120"/>
    <n v="180"/>
    <n v="1164060"/>
    <n v="153383"/>
    <n v="1010677"/>
    <n v="879120"/>
    <n v="131557"/>
    <n v="0.13016720475483265"/>
    <n v="16"/>
    <n v="93120"/>
    <n v="0.13333333333333333"/>
    <n v="43"/>
    <n v="3.42"/>
    <n v="295600"/>
    <n v="2609764"/>
    <n v="8.8287009472259808"/>
    <x v="2"/>
  </r>
  <r>
    <s v="PRD-164"/>
    <x v="163"/>
    <x v="1"/>
    <d v="2022-11-10T00:00:00"/>
    <n v="872"/>
    <s v="Mature"/>
    <n v="16832"/>
    <n v="10254"/>
    <n v="66"/>
    <n v="106"/>
    <n v="1784192"/>
    <n v="300265"/>
    <n v="1483927"/>
    <n v="1086924"/>
    <n v="397003"/>
    <n v="0.26753539763074596"/>
    <n v="3"/>
    <n v="45444"/>
    <n v="4.5454545454545456E-2"/>
    <n v="29"/>
    <n v="4.12"/>
    <n v="383540"/>
    <n v="3706100"/>
    <n v="9.662877405225009"/>
    <x v="0"/>
  </r>
  <r>
    <s v="PRD-165"/>
    <x v="164"/>
    <x v="1"/>
    <d v="2023-11-01T00:00:00"/>
    <n v="516"/>
    <s v="Mature"/>
    <n v="12516"/>
    <n v="6094"/>
    <n v="96"/>
    <n v="147"/>
    <n v="1839852"/>
    <n v="165015"/>
    <n v="1674837"/>
    <n v="895818"/>
    <n v="779019"/>
    <n v="0.46513123366632098"/>
    <n v="12"/>
    <n v="135168"/>
    <n v="0.125"/>
    <n v="47"/>
    <n v="4.63"/>
    <n v="541457"/>
    <n v="5685462"/>
    <n v="10.500301963036769"/>
    <x v="2"/>
  </r>
  <r>
    <s v="PRD-166"/>
    <x v="165"/>
    <x v="1"/>
    <d v="2024-08-25T00:00:00"/>
    <n v="218"/>
    <s v="Mature"/>
    <n v="11102"/>
    <n v="9519"/>
    <n v="105"/>
    <n v="157"/>
    <n v="1743014"/>
    <n v="345108"/>
    <n v="1397906"/>
    <n v="1494483"/>
    <n v="-96577"/>
    <n v="-6.9086905700383283E-2"/>
    <n v="3"/>
    <n v="29973"/>
    <n v="2.8571428571428571E-2"/>
    <n v="39"/>
    <n v="3.24"/>
    <n v="173695"/>
    <n v="3119086"/>
    <n v="17.957258412734966"/>
    <x v="2"/>
  </r>
  <r>
    <s v="PRD-167"/>
    <x v="166"/>
    <x v="1"/>
    <d v="2023-02-22T00:00:00"/>
    <n v="768"/>
    <s v="Mature"/>
    <n v="2969"/>
    <n v="1893"/>
    <n v="185"/>
    <n v="280"/>
    <n v="831320"/>
    <n v="160324"/>
    <n v="670996"/>
    <n v="530040"/>
    <n v="140956"/>
    <n v="0.21006980667544964"/>
    <n v="19"/>
    <n v="50768"/>
    <n v="0.10270270270270271"/>
    <n v="83"/>
    <n v="4.0199999999999996"/>
    <n v="351635"/>
    <n v="1287635"/>
    <n v="3.661851067157706"/>
    <x v="2"/>
  </r>
  <r>
    <s v="PRD-168"/>
    <x v="167"/>
    <x v="1"/>
    <d v="2023-10-21T00:00:00"/>
    <n v="527"/>
    <s v="Mature"/>
    <n v="3075"/>
    <n v="2339"/>
    <n v="98"/>
    <n v="145"/>
    <n v="445875"/>
    <n v="86128"/>
    <n v="359747"/>
    <n v="339155"/>
    <n v="20592"/>
    <n v="5.7240227159642748E-2"/>
    <n v="8"/>
    <n v="22136"/>
    <n v="8.1632653061224483E-2"/>
    <n v="39"/>
    <n v="3.54"/>
    <n v="246620"/>
    <n v="562143"/>
    <n v="2.2793893439299326"/>
    <x v="2"/>
  </r>
  <r>
    <s v="PRD-169"/>
    <x v="168"/>
    <x v="1"/>
    <d v="2023-12-08T00:00:00"/>
    <n v="479"/>
    <s v="Mature"/>
    <n v="3361"/>
    <n v="2047"/>
    <n v="64"/>
    <n v="99"/>
    <n v="332739"/>
    <n v="50911"/>
    <n v="281828"/>
    <n v="202653"/>
    <n v="79175"/>
    <n v="0.28093376101735812"/>
    <n v="1"/>
    <n v="3024"/>
    <n v="1.5625E-2"/>
    <n v="21"/>
    <n v="3.86"/>
    <n v="131114"/>
    <n v="443246"/>
    <n v="3.3806153423738121"/>
    <x v="2"/>
  </r>
  <r>
    <s v="PRD-170"/>
    <x v="169"/>
    <x v="1"/>
    <d v="2023-02-18T00:00:00"/>
    <n v="772"/>
    <s v="Mature"/>
    <n v="6590"/>
    <n v="5259"/>
    <n v="133"/>
    <n v="205"/>
    <n v="1350950"/>
    <n v="263064"/>
    <n v="1087886"/>
    <n v="1078095"/>
    <n v="9791"/>
    <n v="9.000023899563005E-3"/>
    <n v="17"/>
    <n v="100827"/>
    <n v="0.12781954887218044"/>
    <n v="50"/>
    <n v="3.32"/>
    <n v="389917"/>
    <n v="3172919"/>
    <n v="8.1374215538178643"/>
    <x v="2"/>
  </r>
  <r>
    <s v="PRD-171"/>
    <x v="170"/>
    <x v="1"/>
    <d v="2024-11-23T00:00:00"/>
    <n v="128"/>
    <s v="Mature"/>
    <n v="1535"/>
    <n v="924"/>
    <n v="252"/>
    <n v="390"/>
    <n v="598650"/>
    <n v="69086"/>
    <n v="529564"/>
    <n v="360360"/>
    <n v="169204"/>
    <n v="0.31951567704753342"/>
    <n v="21"/>
    <n v="29001"/>
    <n v="8.3333333333333329E-2"/>
    <n v="99"/>
    <n v="4.08"/>
    <n v="513779"/>
    <n v="1135600"/>
    <n v="2.2102888596069517"/>
    <x v="2"/>
  </r>
  <r>
    <s v="PRD-172"/>
    <x v="171"/>
    <x v="1"/>
    <d v="2022-11-14T00:00:00"/>
    <n v="868"/>
    <s v="Mature"/>
    <n v="5723"/>
    <n v="3293"/>
    <n v="68"/>
    <n v="101"/>
    <n v="578023"/>
    <n v="115751"/>
    <n v="462272"/>
    <n v="332593"/>
    <n v="129679"/>
    <n v="0.28052531842724632"/>
    <n v="7"/>
    <n v="36050"/>
    <n v="0.10294117647058823"/>
    <n v="29"/>
    <n v="4.17"/>
    <n v="588239"/>
    <n v="3511475"/>
    <n v="5.9694698923396778"/>
    <x v="2"/>
  </r>
  <r>
    <s v="PRD-173"/>
    <x v="172"/>
    <x v="1"/>
    <d v="2023-08-13T00:00:00"/>
    <n v="596"/>
    <s v="Mature"/>
    <n v="7966"/>
    <n v="5255"/>
    <n v="73"/>
    <n v="105"/>
    <n v="836430"/>
    <n v="111913"/>
    <n v="724517"/>
    <n v="551775"/>
    <n v="172742"/>
    <n v="0.23842366707751508"/>
    <n v="11"/>
    <n v="78859"/>
    <n v="0.15068493150684931"/>
    <n v="26"/>
    <n v="3.62"/>
    <n v="495723"/>
    <n v="4670899"/>
    <n v="9.4223971855249804"/>
    <x v="2"/>
  </r>
  <r>
    <s v="PRD-174"/>
    <x v="173"/>
    <x v="1"/>
    <d v="2023-07-16T00:00:00"/>
    <n v="624"/>
    <s v="Mature"/>
    <n v="14736"/>
    <n v="10200"/>
    <n v="68"/>
    <n v="104"/>
    <n v="1532544"/>
    <n v="143484"/>
    <n v="1389060"/>
    <n v="1060800"/>
    <n v="328260"/>
    <n v="0.23631808561185261"/>
    <n v="5"/>
    <n v="66310"/>
    <n v="7.3529411764705885E-2"/>
    <n v="24"/>
    <n v="4"/>
    <n v="516423"/>
    <n v="11116757"/>
    <n v="21.52645602539004"/>
    <x v="2"/>
  </r>
  <r>
    <s v="PRD-175"/>
    <x v="174"/>
    <x v="1"/>
    <d v="2022-11-23T00:00:00"/>
    <n v="859"/>
    <s v="Mature"/>
    <n v="4834"/>
    <n v="2451"/>
    <n v="59"/>
    <n v="86"/>
    <n v="415724"/>
    <n v="42422"/>
    <n v="373302"/>
    <n v="210786"/>
    <n v="162516"/>
    <n v="0.4353472523586801"/>
    <n v="2"/>
    <n v="8700"/>
    <n v="3.3898305084745763E-2"/>
    <n v="20"/>
    <n v="4.58"/>
    <n v="444979"/>
    <n v="2255547"/>
    <n v="5.0688841495890813"/>
    <x v="0"/>
  </r>
  <r>
    <s v="PRD-176"/>
    <x v="175"/>
    <x v="1"/>
    <d v="2024-11-20T00:00:00"/>
    <n v="131"/>
    <s v="Mature"/>
    <n v="4384"/>
    <n v="3383"/>
    <n v="176"/>
    <n v="266"/>
    <n v="1166144"/>
    <n v="178297"/>
    <n v="987847"/>
    <n v="899878"/>
    <n v="87969"/>
    <n v="8.9051239716271852E-2"/>
    <n v="4"/>
    <n v="15780"/>
    <n v="2.2727272727272728E-2"/>
    <n v="78"/>
    <n v="3.42"/>
    <n v="454138"/>
    <n v="2769687"/>
    <n v="6.0987783449083759"/>
    <x v="2"/>
  </r>
  <r>
    <s v="PRD-177"/>
    <x v="176"/>
    <x v="1"/>
    <d v="2022-10-28T00:00:00"/>
    <n v="885"/>
    <s v="Mature"/>
    <n v="15081"/>
    <n v="7569"/>
    <n v="94"/>
    <n v="145"/>
    <n v="2186745"/>
    <n v="315179"/>
    <n v="1871566"/>
    <n v="1097505"/>
    <n v="774061"/>
    <n v="0.41359000964967307"/>
    <n v="8"/>
    <n v="108576"/>
    <n v="8.5106382978723402E-2"/>
    <n v="30"/>
    <n v="4.47"/>
    <n v="164234"/>
    <n v="4860527"/>
    <n v="29.595132554769414"/>
    <x v="2"/>
  </r>
  <r>
    <s v="PRD-178"/>
    <x v="177"/>
    <x v="1"/>
    <d v="2023-01-10T00:00:00"/>
    <n v="811"/>
    <s v="Mature"/>
    <n v="7656"/>
    <n v="6793"/>
    <n v="114"/>
    <n v="174"/>
    <n v="1332144"/>
    <n v="231998"/>
    <n v="1100146"/>
    <n v="1181982"/>
    <n v="-81836"/>
    <n v="-7.4386490520349111E-2"/>
    <n v="16"/>
    <n v="110240"/>
    <n v="0.14035087719298245"/>
    <n v="44"/>
    <n v="2.99"/>
    <n v="171728"/>
    <n v="1566199"/>
    <n v="9.120230830150005"/>
    <x v="2"/>
  </r>
  <r>
    <s v="PRD-179"/>
    <x v="178"/>
    <x v="1"/>
    <d v="2024-01-24T00:00:00"/>
    <n v="432"/>
    <s v="Mature"/>
    <n v="4846"/>
    <n v="2706"/>
    <n v="96"/>
    <n v="155"/>
    <n v="751130"/>
    <n v="94841"/>
    <n v="656289"/>
    <n v="419430"/>
    <n v="236859"/>
    <n v="0.360906551839205"/>
    <n v="6"/>
    <n v="26166"/>
    <n v="6.25E-2"/>
    <n v="32"/>
    <n v="4.08"/>
    <n v="389856"/>
    <n v="2385154"/>
    <n v="6.1180384552244931"/>
    <x v="2"/>
  </r>
  <r>
    <s v="PRD-180"/>
    <x v="179"/>
    <x v="1"/>
    <d v="2024-12-03T00:00:00"/>
    <n v="118"/>
    <s v="Mature"/>
    <n v="17593"/>
    <n v="12482"/>
    <n v="47"/>
    <n v="71"/>
    <n v="1249103"/>
    <n v="182053"/>
    <n v="1067050"/>
    <n v="886222"/>
    <n v="180828"/>
    <n v="0.16946534839042218"/>
    <n v="6"/>
    <n v="94998"/>
    <n v="0.1276595744680851"/>
    <n v="23"/>
    <n v="3.67"/>
    <n v="110581"/>
    <n v="4453045"/>
    <n v="40.26953093207694"/>
    <x v="2"/>
  </r>
  <r>
    <s v="PRD-181"/>
    <x v="180"/>
    <x v="1"/>
    <d v="2024-02-24T00:00:00"/>
    <n v="401"/>
    <s v="Mature"/>
    <n v="2357"/>
    <n v="2003"/>
    <n v="94"/>
    <n v="142"/>
    <n v="334694"/>
    <n v="60292"/>
    <n v="274402"/>
    <n v="284426"/>
    <n v="-10024"/>
    <n v="-3.6530345988731859E-2"/>
    <n v="13"/>
    <n v="27573"/>
    <n v="0.13829787234042554"/>
    <n v="40"/>
    <n v="3.18"/>
    <n v="278613"/>
    <n v="919310"/>
    <n v="3.299594778420246"/>
    <x v="2"/>
  </r>
  <r>
    <s v="PRD-182"/>
    <x v="181"/>
    <x v="1"/>
    <d v="2023-09-27T00:00:00"/>
    <n v="551"/>
    <s v="Mature"/>
    <n v="14364"/>
    <n v="12917"/>
    <n v="84"/>
    <n v="127"/>
    <n v="1824228"/>
    <n v="214345"/>
    <n v="1609883"/>
    <n v="1640459"/>
    <n v="-30576"/>
    <n v="-1.8992684561548883E-2"/>
    <n v="9"/>
    <n v="116343"/>
    <n v="0.10714285714285714"/>
    <n v="41"/>
    <n v="2.88"/>
    <n v="155717"/>
    <n v="2791122"/>
    <n v="17.924324254898309"/>
    <x v="2"/>
  </r>
  <r>
    <s v="PRD-183"/>
    <x v="182"/>
    <x v="1"/>
    <d v="2024-04-10T00:00:00"/>
    <n v="355"/>
    <s v="Mature"/>
    <n v="2516"/>
    <n v="1184"/>
    <n v="153"/>
    <n v="228"/>
    <n v="573648"/>
    <n v="47855"/>
    <n v="525793"/>
    <n v="269952"/>
    <n v="255841"/>
    <n v="0.48658122112694541"/>
    <n v="6"/>
    <n v="13584"/>
    <n v="3.9215686274509803E-2"/>
    <n v="64"/>
    <n v="4.41"/>
    <n v="528018"/>
    <n v="1461632"/>
    <n v="2.7681480555587119"/>
    <x v="0"/>
  </r>
  <r>
    <s v="PRD-184"/>
    <x v="183"/>
    <x v="1"/>
    <d v="2023-06-17T00:00:00"/>
    <n v="653"/>
    <s v="Mature"/>
    <n v="12976"/>
    <n v="5949"/>
    <n v="62"/>
    <n v="99"/>
    <n v="1284624"/>
    <n v="211777"/>
    <n v="1072847"/>
    <n v="588951"/>
    <n v="483896"/>
    <n v="0.45103915096933672"/>
    <n v="7"/>
    <n v="81746"/>
    <n v="0.11290322580645161"/>
    <n v="24"/>
    <n v="4.4400000000000004"/>
    <n v="416257"/>
    <n v="5788293"/>
    <n v="13.905575161498785"/>
    <x v="2"/>
  </r>
  <r>
    <s v="PRD-185"/>
    <x v="184"/>
    <x v="1"/>
    <d v="2023-09-06T00:00:00"/>
    <n v="572"/>
    <s v="Mature"/>
    <n v="19366"/>
    <n v="11022"/>
    <n v="55"/>
    <n v="82"/>
    <n v="1588012"/>
    <n v="142548"/>
    <n v="1445464"/>
    <n v="903804"/>
    <n v="541660"/>
    <n v="0.37473088226341161"/>
    <n v="7"/>
    <n v="122003"/>
    <n v="0.12727272727272726"/>
    <n v="22"/>
    <n v="4.18"/>
    <n v="96009"/>
    <n v="2640907"/>
    <n v="27.506869147684071"/>
    <x v="4"/>
  </r>
  <r>
    <s v="PRD-186"/>
    <x v="185"/>
    <x v="1"/>
    <d v="2023-02-16T00:00:00"/>
    <n v="774"/>
    <s v="Mature"/>
    <n v="15979"/>
    <n v="9838"/>
    <n v="83"/>
    <n v="127"/>
    <n v="2029333"/>
    <n v="264758"/>
    <n v="1764575"/>
    <n v="1249426"/>
    <n v="515149"/>
    <n v="0.29193941884023067"/>
    <n v="6"/>
    <n v="86286"/>
    <n v="7.2289156626506021E-2"/>
    <n v="32"/>
    <n v="4.17"/>
    <n v="267097"/>
    <n v="5711794"/>
    <n v="21.384717911470364"/>
    <x v="2"/>
  </r>
  <r>
    <s v="PRD-187"/>
    <x v="186"/>
    <x v="1"/>
    <d v="2023-08-14T00:00:00"/>
    <n v="595"/>
    <s v="Mature"/>
    <n v="1672"/>
    <n v="1267"/>
    <n v="268"/>
    <n v="401"/>
    <n v="670472"/>
    <n v="69416"/>
    <n v="601056"/>
    <n v="508067"/>
    <n v="92989"/>
    <n v="0.15470937816110311"/>
    <n v="23"/>
    <n v="34592"/>
    <n v="8.5820895522388058E-2"/>
    <n v="115"/>
    <n v="3.42"/>
    <n v="542554"/>
    <n v="1194439"/>
    <n v="2.2015117389236831"/>
    <x v="2"/>
  </r>
  <r>
    <s v="PRD-188"/>
    <x v="187"/>
    <x v="1"/>
    <d v="2024-12-08T00:00:00"/>
    <n v="113"/>
    <s v="Mature"/>
    <n v="9674"/>
    <n v="7152"/>
    <n v="68"/>
    <n v="106"/>
    <n v="1025444"/>
    <n v="114672"/>
    <n v="910772"/>
    <n v="758112"/>
    <n v="152660"/>
    <n v="0.16761604441067579"/>
    <n v="4"/>
    <n v="34824"/>
    <n v="5.8823529411764705E-2"/>
    <n v="32"/>
    <n v="3.78"/>
    <n v="359776"/>
    <n v="3756755"/>
    <n v="10.441927755047585"/>
    <x v="2"/>
  </r>
  <r>
    <s v="PRD-189"/>
    <x v="188"/>
    <x v="1"/>
    <d v="2023-10-31T00:00:00"/>
    <n v="517"/>
    <s v="Mature"/>
    <n v="14708"/>
    <n v="7315"/>
    <n v="84"/>
    <n v="133"/>
    <n v="1956164"/>
    <n v="227308"/>
    <n v="1728856"/>
    <n v="972895"/>
    <n v="755961"/>
    <n v="0.43726082449897502"/>
    <n v="13"/>
    <n v="172081"/>
    <n v="0.15476190476190477"/>
    <n v="32"/>
    <n v="4.47"/>
    <n v="359109"/>
    <n v="4527480"/>
    <n v="12.607536987377092"/>
    <x v="2"/>
  </r>
  <r>
    <s v="PRD-190"/>
    <x v="189"/>
    <x v="1"/>
    <d v="2024-10-14T00:00:00"/>
    <n v="168"/>
    <s v="Mature"/>
    <n v="9038"/>
    <n v="4875"/>
    <n v="55"/>
    <n v="80"/>
    <n v="723040"/>
    <n v="114731"/>
    <n v="608309"/>
    <n v="390000"/>
    <n v="218309"/>
    <n v="0.35887846472763019"/>
    <n v="1"/>
    <n v="8134"/>
    <n v="1.8181818181818181E-2"/>
    <n v="19"/>
    <n v="4.24"/>
    <n v="300148"/>
    <n v="3809266"/>
    <n v="12.691292295800737"/>
    <x v="0"/>
  </r>
  <r>
    <s v="PRD-191"/>
    <x v="190"/>
    <x v="1"/>
    <d v="2024-08-07T00:00:00"/>
    <n v="236"/>
    <s v="Mature"/>
    <n v="3660"/>
    <n v="3162"/>
    <n v="144"/>
    <n v="222"/>
    <n v="812520"/>
    <n v="152477"/>
    <n v="660043"/>
    <n v="701964"/>
    <n v="-41921"/>
    <n v="-6.3512528729188861E-2"/>
    <n v="2"/>
    <n v="6588"/>
    <n v="1.3888888888888888E-2"/>
    <n v="55"/>
    <n v="3.03"/>
    <n v="234959"/>
    <n v="1198071"/>
    <n v="5.0990640920330783"/>
    <x v="2"/>
  </r>
  <r>
    <s v="PRD-192"/>
    <x v="191"/>
    <x v="1"/>
    <d v="2023-09-27T00:00:00"/>
    <n v="551"/>
    <s v="Mature"/>
    <n v="14950"/>
    <n v="13170"/>
    <n v="31"/>
    <n v="50"/>
    <n v="747500"/>
    <n v="117713"/>
    <n v="629787"/>
    <n v="658500"/>
    <n v="-28713"/>
    <n v="-4.5591604780663937E-2"/>
    <n v="1"/>
    <n v="13455"/>
    <n v="3.2258064516129031E-2"/>
    <n v="9"/>
    <n v="3.22"/>
    <n v="330429"/>
    <n v="4818592"/>
    <n v="14.582836252265993"/>
    <x v="2"/>
  </r>
  <r>
    <s v="PRD-193"/>
    <x v="192"/>
    <x v="1"/>
    <d v="2024-11-06T00:00:00"/>
    <n v="145"/>
    <s v="Mature"/>
    <n v="12203"/>
    <n v="8165"/>
    <n v="103"/>
    <n v="160"/>
    <n v="1952480"/>
    <n v="312759"/>
    <n v="1639721"/>
    <n v="1306400"/>
    <n v="333321"/>
    <n v="0.20327909443130873"/>
    <n v="8"/>
    <n v="87856"/>
    <n v="7.7669902912621352E-2"/>
    <n v="35"/>
    <n v="3.71"/>
    <n v="260423"/>
    <n v="2298026"/>
    <n v="8.8242052353286766"/>
    <x v="2"/>
  </r>
  <r>
    <s v="PRD-194"/>
    <x v="193"/>
    <x v="1"/>
    <d v="2023-05-30T00:00:00"/>
    <n v="671"/>
    <s v="Mature"/>
    <n v="1439"/>
    <n v="1213"/>
    <n v="275"/>
    <n v="396"/>
    <n v="569844"/>
    <n v="93170"/>
    <n v="476674"/>
    <n v="480348"/>
    <n v="-3674"/>
    <n v="-7.7075737296349285E-3"/>
    <n v="17"/>
    <n v="22015"/>
    <n v="6.1818181818181821E-2"/>
    <n v="122"/>
    <n v="3.15"/>
    <n v="114089"/>
    <n v="75226"/>
    <n v="0.65936242757846941"/>
    <x v="2"/>
  </r>
  <r>
    <s v="PRD-195"/>
    <x v="194"/>
    <x v="1"/>
    <d v="2023-10-16T00:00:00"/>
    <n v="532"/>
    <s v="Mature"/>
    <n v="15042"/>
    <n v="7115"/>
    <n v="45"/>
    <n v="72"/>
    <n v="1083024"/>
    <n v="143166"/>
    <n v="939858"/>
    <n v="512280"/>
    <n v="427578"/>
    <n v="0.45493893758418824"/>
    <n v="6"/>
    <n v="81222"/>
    <n v="0.13333333333333333"/>
    <n v="19"/>
    <n v="4.3899999999999997"/>
    <n v="777424"/>
    <n v="11595838"/>
    <n v="14.915719092798781"/>
    <x v="2"/>
  </r>
  <r>
    <s v="PRD-196"/>
    <x v="195"/>
    <x v="1"/>
    <d v="2022-10-27T00:00:00"/>
    <n v="886"/>
    <s v="Mature"/>
    <n v="8478"/>
    <n v="3965"/>
    <n v="74"/>
    <n v="107"/>
    <n v="907146"/>
    <n v="121993"/>
    <n v="785153"/>
    <n v="424255"/>
    <n v="360898"/>
    <n v="0.45965308672322464"/>
    <n v="0"/>
    <n v="0"/>
    <n v="0"/>
    <n v="25"/>
    <n v="4.46"/>
    <n v="426043"/>
    <n v="5224267"/>
    <n v="12.262299814807426"/>
    <x v="0"/>
  </r>
  <r>
    <s v="PRD-197"/>
    <x v="196"/>
    <x v="1"/>
    <d v="2024-06-18T00:00:00"/>
    <n v="286"/>
    <s v="Mature"/>
    <n v="14922"/>
    <n v="11988"/>
    <n v="80"/>
    <n v="124"/>
    <n v="1850328"/>
    <n v="245212"/>
    <n v="1605116"/>
    <n v="1486512"/>
    <n v="118604"/>
    <n v="7.3891232783175789E-2"/>
    <n v="8"/>
    <n v="107432"/>
    <n v="0.1"/>
    <n v="26"/>
    <n v="3.37"/>
    <n v="629276"/>
    <n v="10898877"/>
    <n v="17.319708681087473"/>
    <x v="2"/>
  </r>
  <r>
    <s v="PRD-198"/>
    <x v="197"/>
    <x v="1"/>
    <d v="2024-09-30T00:00:00"/>
    <n v="182"/>
    <s v="Mature"/>
    <n v="15111"/>
    <n v="12425"/>
    <n v="42"/>
    <n v="60"/>
    <n v="906660"/>
    <n v="150284"/>
    <n v="756376"/>
    <n v="745500"/>
    <n v="10876"/>
    <n v="1.4379091880228881E-2"/>
    <n v="7"/>
    <n v="95193"/>
    <n v="0.16666666666666666"/>
    <n v="15"/>
    <n v="3.23"/>
    <n v="397990"/>
    <n v="8564329"/>
    <n v="21.518955250131913"/>
    <x v="2"/>
  </r>
  <r>
    <s v="PRD-199"/>
    <x v="198"/>
    <x v="1"/>
    <d v="2023-08-04T00:00:00"/>
    <n v="605"/>
    <s v="Mature"/>
    <n v="18321"/>
    <n v="12018"/>
    <n v="23"/>
    <n v="35"/>
    <n v="641235"/>
    <n v="98613"/>
    <n v="542622"/>
    <n v="420630"/>
    <n v="121992"/>
    <n v="0.22481948759910214"/>
    <n v="0"/>
    <n v="0"/>
    <n v="0"/>
    <n v="10"/>
    <n v="3.45"/>
    <n v="86865"/>
    <n v="926415"/>
    <n v="10.664997409773786"/>
    <x v="2"/>
  </r>
  <r>
    <s v="PRD-200"/>
    <x v="199"/>
    <x v="1"/>
    <d v="2023-04-24T00:00:00"/>
    <n v="707"/>
    <s v="Mature"/>
    <n v="16969"/>
    <n v="13559"/>
    <n v="33"/>
    <n v="55"/>
    <n v="933295"/>
    <n v="144816"/>
    <n v="788479"/>
    <n v="745745"/>
    <n v="42734"/>
    <n v="5.4198019224354736E-2"/>
    <n v="2"/>
    <n v="30544"/>
    <n v="6.0606060606060608E-2"/>
    <n v="12"/>
    <n v="3.33"/>
    <n v="215192"/>
    <n v="3678547"/>
    <n v="17.094255362652888"/>
    <x v="2"/>
  </r>
  <r>
    <s v="PRD-201"/>
    <x v="200"/>
    <x v="1"/>
    <d v="2024-04-17T00:00:00"/>
    <n v="348"/>
    <s v="Mature"/>
    <n v="15614"/>
    <n v="8405"/>
    <n v="59"/>
    <n v="93"/>
    <n v="1452102"/>
    <n v="202268"/>
    <n v="1249834"/>
    <n v="781665"/>
    <n v="468169"/>
    <n v="0.37458494488068017"/>
    <n v="5"/>
    <n v="70260"/>
    <n v="8.4745762711864403E-2"/>
    <n v="22"/>
    <n v="4.3899999999999997"/>
    <n v="336933"/>
    <n v="7328568"/>
    <n v="21.750816927994588"/>
    <x v="2"/>
  </r>
  <r>
    <s v="PRD-202"/>
    <x v="201"/>
    <x v="1"/>
    <d v="2024-05-11T00:00:00"/>
    <n v="324"/>
    <s v="Mature"/>
    <n v="13759"/>
    <n v="7620"/>
    <n v="51"/>
    <n v="75"/>
    <n v="1031925"/>
    <n v="175907"/>
    <n v="856018"/>
    <n v="571500"/>
    <n v="284518"/>
    <n v="0.33237385195171132"/>
    <n v="5"/>
    <n v="61915"/>
    <n v="9.8039215686274508E-2"/>
    <n v="22"/>
    <n v="4.0199999999999996"/>
    <n v="371621"/>
    <n v="5639020"/>
    <n v="15.174115563975125"/>
    <x v="2"/>
  </r>
  <r>
    <s v="PRD-203"/>
    <x v="202"/>
    <x v="1"/>
    <d v="2024-12-07T00:00:00"/>
    <n v="114"/>
    <s v="Mature"/>
    <n v="11588"/>
    <n v="9759"/>
    <n v="70"/>
    <n v="99"/>
    <n v="1147212"/>
    <n v="138504"/>
    <n v="1008708"/>
    <n v="966141"/>
    <n v="42567"/>
    <n v="4.2199526523037392E-2"/>
    <n v="6"/>
    <n v="62574"/>
    <n v="8.5714285714285715E-2"/>
    <n v="23"/>
    <n v="3.11"/>
    <n v="657263"/>
    <n v="8569379"/>
    <n v="13.037975665753283"/>
    <x v="2"/>
  </r>
  <r>
    <s v="PRD-204"/>
    <x v="203"/>
    <x v="1"/>
    <d v="2023-08-08T00:00:00"/>
    <n v="601"/>
    <s v="Mature"/>
    <n v="4367"/>
    <n v="2912"/>
    <n v="141"/>
    <n v="219"/>
    <n v="956373"/>
    <n v="110456"/>
    <n v="845917"/>
    <n v="637728"/>
    <n v="208189"/>
    <n v="0.2461104340023903"/>
    <n v="12"/>
    <n v="47160"/>
    <n v="8.5106382978723402E-2"/>
    <n v="63"/>
    <n v="3.79"/>
    <n v="81705"/>
    <n v="282712"/>
    <n v="3.4601554372437429"/>
    <x v="2"/>
  </r>
  <r>
    <s v="PRD-205"/>
    <x v="204"/>
    <x v="1"/>
    <d v="2023-06-14T00:00:00"/>
    <n v="656"/>
    <s v="Mature"/>
    <n v="9606"/>
    <n v="4988"/>
    <n v="75"/>
    <n v="104"/>
    <n v="999024"/>
    <n v="165838"/>
    <n v="833186"/>
    <n v="518752"/>
    <n v="314434"/>
    <n v="0.37738752211390975"/>
    <n v="14"/>
    <n v="121030"/>
    <n v="0.18666666666666668"/>
    <n v="22"/>
    <n v="4.55"/>
    <n v="411860"/>
    <n v="6223421"/>
    <n v="15.110525421259652"/>
    <x v="2"/>
  </r>
  <r>
    <s v="PRD-206"/>
    <x v="205"/>
    <x v="1"/>
    <d v="2023-03-22T00:00:00"/>
    <n v="740"/>
    <s v="Mature"/>
    <n v="3360"/>
    <n v="2264"/>
    <n v="130"/>
    <n v="188"/>
    <n v="631680"/>
    <n v="108201"/>
    <n v="523479"/>
    <n v="425632"/>
    <n v="97847"/>
    <n v="0.18691676265905605"/>
    <n v="8"/>
    <n v="24192"/>
    <n v="6.1538461538461542E-2"/>
    <n v="43"/>
    <n v="3.86"/>
    <n v="268164"/>
    <n v="978508"/>
    <n v="3.6489163347802092"/>
    <x v="2"/>
  </r>
  <r>
    <s v="PRD-207"/>
    <x v="206"/>
    <x v="1"/>
    <d v="2024-04-30T00:00:00"/>
    <n v="335"/>
    <s v="Mature"/>
    <n v="11362"/>
    <n v="5918"/>
    <n v="105"/>
    <n v="152"/>
    <n v="1727024"/>
    <n v="292627"/>
    <n v="1434397"/>
    <n v="899536"/>
    <n v="534861"/>
    <n v="0.37288212398659504"/>
    <n v="9"/>
    <n v="92025"/>
    <n v="8.5714285714285715E-2"/>
    <n v="42"/>
    <n v="4.3099999999999996"/>
    <n v="720535"/>
    <n v="5887927"/>
    <n v="8.171604432817281"/>
    <x v="2"/>
  </r>
  <r>
    <s v="PRD-208"/>
    <x v="207"/>
    <x v="1"/>
    <d v="2023-12-01T00:00:00"/>
    <n v="486"/>
    <s v="Mature"/>
    <n v="7206"/>
    <n v="3998"/>
    <n v="105"/>
    <n v="153"/>
    <n v="1102518"/>
    <n v="160636"/>
    <n v="941882"/>
    <n v="611694"/>
    <n v="330188"/>
    <n v="0.35056195999074197"/>
    <n v="13"/>
    <n v="84305"/>
    <n v="0.12380952380952381"/>
    <n v="46"/>
    <n v="4.1500000000000004"/>
    <n v="72528"/>
    <n v="744375"/>
    <n v="10.26327763070814"/>
    <x v="4"/>
  </r>
  <r>
    <s v="PRD-209"/>
    <x v="208"/>
    <x v="1"/>
    <d v="2024-09-01T00:00:00"/>
    <n v="211"/>
    <s v="Mature"/>
    <n v="16124"/>
    <n v="12734"/>
    <n v="26"/>
    <n v="39"/>
    <n v="628836"/>
    <n v="73997"/>
    <n v="554839"/>
    <n v="496626"/>
    <n v="58213"/>
    <n v="0.10491872417043503"/>
    <n v="6"/>
    <n v="87066"/>
    <n v="0.23076923076923078"/>
    <n v="8"/>
    <n v="3.56"/>
    <n v="386228"/>
    <n v="8126115"/>
    <n v="21.039683813705896"/>
    <x v="2"/>
  </r>
  <r>
    <s v="PRD-210"/>
    <x v="209"/>
    <x v="1"/>
    <d v="2024-06-13T00:00:00"/>
    <n v="291"/>
    <s v="Mature"/>
    <n v="15517"/>
    <n v="12540"/>
    <n v="82"/>
    <n v="118"/>
    <n v="1831006"/>
    <n v="311266"/>
    <n v="1519740"/>
    <n v="1479720"/>
    <n v="40020"/>
    <n v="2.6333451774645664E-2"/>
    <n v="6"/>
    <n v="83790"/>
    <n v="7.3170731707317069E-2"/>
    <n v="34"/>
    <n v="3.25"/>
    <n v="341063"/>
    <n v="6494430"/>
    <n v="19.041731293045565"/>
    <x v="2"/>
  </r>
  <r>
    <s v="PRD-211"/>
    <x v="210"/>
    <x v="1"/>
    <d v="2023-01-17T00:00:00"/>
    <n v="804"/>
    <s v="Mature"/>
    <n v="12440"/>
    <n v="8313"/>
    <n v="67"/>
    <n v="99"/>
    <n v="1231560"/>
    <n v="178553"/>
    <n v="1053007"/>
    <n v="822987"/>
    <n v="230020"/>
    <n v="0.21844109298418718"/>
    <n v="8"/>
    <n v="89568"/>
    <n v="0.11940298507462686"/>
    <n v="30"/>
    <n v="3.93"/>
    <n v="433189"/>
    <n v="7534790"/>
    <n v="17.393770386597996"/>
    <x v="2"/>
  </r>
  <r>
    <s v="PRD-212"/>
    <x v="211"/>
    <x v="1"/>
    <d v="2024-06-22T00:00:00"/>
    <n v="282"/>
    <s v="Mature"/>
    <n v="9808"/>
    <n v="4654"/>
    <n v="82"/>
    <n v="116"/>
    <n v="1137728"/>
    <n v="91028"/>
    <n v="1046700"/>
    <n v="539864"/>
    <n v="506836"/>
    <n v="0.48422279545237412"/>
    <n v="4"/>
    <n v="35308"/>
    <n v="4.878048780487805E-2"/>
    <n v="36"/>
    <n v="4.4400000000000004"/>
    <n v="556292"/>
    <n v="5480096"/>
    <n v="9.8511141630654411"/>
    <x v="0"/>
  </r>
  <r>
    <s v="PRD-213"/>
    <x v="212"/>
    <x v="1"/>
    <d v="2024-02-23T00:00:00"/>
    <n v="402"/>
    <s v="Mature"/>
    <n v="6519"/>
    <n v="3628"/>
    <n v="57"/>
    <n v="78"/>
    <n v="508482"/>
    <n v="100581"/>
    <n v="407901"/>
    <n v="282984"/>
    <n v="124917"/>
    <n v="0.30624342671383498"/>
    <n v="4"/>
    <n v="23468"/>
    <n v="7.0175438596491224E-2"/>
    <n v="20"/>
    <n v="4.4000000000000004"/>
    <n v="787749"/>
    <n v="5037374"/>
    <n v="6.3946434714610874"/>
    <x v="2"/>
  </r>
  <r>
    <s v="PRD-214"/>
    <x v="213"/>
    <x v="1"/>
    <d v="2023-06-04T00:00:00"/>
    <n v="666"/>
    <s v="Mature"/>
    <n v="16861"/>
    <n v="11705"/>
    <n v="48"/>
    <n v="74"/>
    <n v="1247714"/>
    <n v="139083"/>
    <n v="1108631"/>
    <n v="866170"/>
    <n v="242461"/>
    <n v="0.21870306711610987"/>
    <n v="5"/>
    <n v="75870"/>
    <n v="0.10416666666666667"/>
    <n v="19"/>
    <n v="3.53"/>
    <n v="674057"/>
    <n v="10368163"/>
    <n v="15.381730328444034"/>
    <x v="2"/>
  </r>
  <r>
    <s v="PRD-215"/>
    <x v="214"/>
    <x v="1"/>
    <d v="2023-01-19T00:00:00"/>
    <n v="802"/>
    <s v="Mature"/>
    <n v="9662"/>
    <n v="6362"/>
    <n v="70"/>
    <n v="106"/>
    <n v="1024172"/>
    <n v="150888"/>
    <n v="873284"/>
    <n v="674372"/>
    <n v="198912"/>
    <n v="0.22777469872343933"/>
    <n v="14"/>
    <n v="121730"/>
    <n v="0.2"/>
    <n v="23"/>
    <n v="3.74"/>
    <n v="132882"/>
    <n v="2492234"/>
    <n v="18.755241492451951"/>
    <x v="2"/>
  </r>
  <r>
    <s v="PRD-216"/>
    <x v="215"/>
    <x v="1"/>
    <d v="2023-04-18T00:00:00"/>
    <n v="713"/>
    <s v="Mature"/>
    <n v="1975"/>
    <n v="1270"/>
    <n v="126"/>
    <n v="194"/>
    <n v="383150"/>
    <n v="75167"/>
    <n v="307983"/>
    <n v="246380"/>
    <n v="61603"/>
    <n v="0.20002078036774756"/>
    <n v="13"/>
    <n v="23101"/>
    <n v="0.10317460317460317"/>
    <n v="49"/>
    <n v="3.78"/>
    <n v="675668"/>
    <n v="1535915"/>
    <n v="2.273180023325065"/>
    <x v="2"/>
  </r>
  <r>
    <s v="PRD-217"/>
    <x v="216"/>
    <x v="1"/>
    <d v="2023-01-08T00:00:00"/>
    <n v="813"/>
    <s v="Mature"/>
    <n v="4192"/>
    <n v="3530"/>
    <n v="73"/>
    <n v="111"/>
    <n v="465312"/>
    <n v="59435"/>
    <n v="405877"/>
    <n v="391830"/>
    <n v="14047"/>
    <n v="3.460900716226837E-2"/>
    <n v="3"/>
    <n v="11316"/>
    <n v="4.1095890410958902E-2"/>
    <n v="31"/>
    <n v="3"/>
    <n v="631727"/>
    <n v="2816279"/>
    <n v="4.4580633723111411"/>
    <x v="2"/>
  </r>
  <r>
    <s v="PRD-218"/>
    <x v="217"/>
    <x v="1"/>
    <d v="2022-11-11T00:00:00"/>
    <n v="871"/>
    <s v="Mature"/>
    <n v="16981"/>
    <n v="12215"/>
    <n v="78"/>
    <n v="108"/>
    <n v="1833948"/>
    <n v="308629"/>
    <n v="1525319"/>
    <n v="1319220"/>
    <n v="206099"/>
    <n v="0.13511862108844117"/>
    <n v="3"/>
    <n v="45846"/>
    <n v="3.8461538461538464E-2"/>
    <n v="26"/>
    <n v="3.5"/>
    <n v="504964"/>
    <n v="8071828"/>
    <n v="15.984957343493793"/>
    <x v="2"/>
  </r>
  <r>
    <s v="PRD-219"/>
    <x v="218"/>
    <x v="1"/>
    <d v="2024-06-19T00:00:00"/>
    <n v="285"/>
    <s v="Mature"/>
    <n v="17191"/>
    <n v="14390"/>
    <n v="25"/>
    <n v="35"/>
    <n v="601685"/>
    <n v="65496"/>
    <n v="536189"/>
    <n v="503650"/>
    <n v="32539"/>
    <n v="6.0685691052968262E-2"/>
    <n v="2"/>
    <n v="30942"/>
    <n v="0.08"/>
    <n v="12"/>
    <n v="3.17"/>
    <n v="407438"/>
    <n v="6234850"/>
    <n v="15.302573643106436"/>
    <x v="2"/>
  </r>
  <r>
    <s v="PRD-220"/>
    <x v="219"/>
    <x v="1"/>
    <d v="2024-09-25T00:00:00"/>
    <n v="187"/>
    <s v="Mature"/>
    <n v="17001"/>
    <n v="11228"/>
    <n v="64"/>
    <n v="89"/>
    <n v="1513089"/>
    <n v="246549"/>
    <n v="1266540"/>
    <n v="999292"/>
    <n v="267248"/>
    <n v="0.21100636379427418"/>
    <n v="8"/>
    <n v="122400"/>
    <n v="0.125"/>
    <n v="25"/>
    <n v="3.9"/>
    <n v="526674"/>
    <n v="8876260"/>
    <n v="16.853423559925115"/>
    <x v="2"/>
  </r>
  <r>
    <s v="PRD-221"/>
    <x v="220"/>
    <x v="1"/>
    <d v="2024-10-12T00:00:00"/>
    <n v="170"/>
    <s v="Mature"/>
    <n v="19425"/>
    <n v="14793"/>
    <n v="40"/>
    <n v="63"/>
    <n v="1223775"/>
    <n v="233107"/>
    <n v="990668"/>
    <n v="931959"/>
    <n v="58709"/>
    <n v="5.9262033294706196E-2"/>
    <n v="3"/>
    <n v="52446"/>
    <n v="7.4999999999999997E-2"/>
    <n v="15"/>
    <n v="3.2"/>
    <n v="251180"/>
    <n v="4747445"/>
    <n v="18.90056931284338"/>
    <x v="2"/>
  </r>
  <r>
    <s v="PRD-222"/>
    <x v="221"/>
    <x v="1"/>
    <d v="2022-11-22T00:00:00"/>
    <n v="860"/>
    <s v="Mature"/>
    <n v="19226"/>
    <n v="15334"/>
    <n v="23"/>
    <n v="30"/>
    <n v="576780"/>
    <n v="121015"/>
    <n v="455765"/>
    <n v="460020"/>
    <n v="-4255"/>
    <n v="-9.3359516417451972E-3"/>
    <n v="0"/>
    <n v="0"/>
    <n v="0"/>
    <n v="15"/>
    <n v="3.2"/>
    <n v="545644"/>
    <n v="10683991"/>
    <n v="19.580515867488693"/>
    <x v="2"/>
  </r>
  <r>
    <s v="PRD-223"/>
    <x v="222"/>
    <x v="1"/>
    <d v="2023-06-06T00:00:00"/>
    <n v="664"/>
    <s v="Mature"/>
    <n v="5141"/>
    <n v="2726"/>
    <n v="43"/>
    <n v="63"/>
    <n v="323883"/>
    <n v="46635"/>
    <n v="277248"/>
    <n v="171738"/>
    <n v="105510"/>
    <n v="0.38056180747922436"/>
    <n v="4"/>
    <n v="18504"/>
    <n v="9.3023255813953487E-2"/>
    <n v="19"/>
    <n v="4.13"/>
    <n v="409668"/>
    <n v="1993400"/>
    <n v="4.8658914047472583"/>
    <x v="2"/>
  </r>
  <r>
    <s v="PRD-224"/>
    <x v="223"/>
    <x v="1"/>
    <d v="2023-04-27T00:00:00"/>
    <n v="704"/>
    <s v="Mature"/>
    <n v="5261"/>
    <n v="3757"/>
    <n v="106"/>
    <n v="153"/>
    <n v="804933"/>
    <n v="105554"/>
    <n v="699379"/>
    <n v="574821"/>
    <n v="124558"/>
    <n v="0.17809799836712284"/>
    <n v="7"/>
    <n v="33138"/>
    <n v="6.6037735849056603E-2"/>
    <n v="40"/>
    <n v="3.75"/>
    <n v="187587"/>
    <n v="1868396"/>
    <n v="9.9601571537473284"/>
    <x v="2"/>
  </r>
  <r>
    <s v="PRD-225"/>
    <x v="224"/>
    <x v="1"/>
    <d v="2023-08-29T00:00:00"/>
    <n v="580"/>
    <s v="Mature"/>
    <n v="17295"/>
    <n v="13951"/>
    <n v="39"/>
    <n v="62"/>
    <n v="1072290"/>
    <n v="114641"/>
    <n v="957649"/>
    <n v="864962"/>
    <n v="92687"/>
    <n v="9.6785983173375625E-2"/>
    <n v="2"/>
    <n v="31130"/>
    <n v="5.128205128205128E-2"/>
    <n v="11"/>
    <n v="3.09"/>
    <n v="437254"/>
    <n v="7345540"/>
    <n v="16.799251693523672"/>
    <x v="2"/>
  </r>
  <r>
    <s v="PRD-226"/>
    <x v="225"/>
    <x v="1"/>
    <d v="2024-08-23T00:00:00"/>
    <n v="220"/>
    <s v="Mature"/>
    <n v="11516"/>
    <n v="7533"/>
    <n v="71"/>
    <n v="108"/>
    <n v="1243728"/>
    <n v="156047"/>
    <n v="1087681"/>
    <n v="813564"/>
    <n v="274117"/>
    <n v="0.25201966385364827"/>
    <n v="7"/>
    <n v="72548"/>
    <n v="9.8591549295774641E-2"/>
    <n v="28"/>
    <n v="4"/>
    <n v="409894"/>
    <n v="6300346"/>
    <n v="15.370671441884975"/>
    <x v="2"/>
  </r>
  <r>
    <s v="PRD-227"/>
    <x v="226"/>
    <x v="1"/>
    <d v="2023-07-13T00:00:00"/>
    <n v="627"/>
    <s v="Mature"/>
    <n v="6599"/>
    <n v="3096"/>
    <n v="128"/>
    <n v="188"/>
    <n v="1240612"/>
    <n v="189588"/>
    <n v="1051024"/>
    <n v="582048"/>
    <n v="468976"/>
    <n v="0.44620864985005099"/>
    <n v="15"/>
    <n v="89085"/>
    <n v="0.1171875"/>
    <n v="62"/>
    <n v="4.4800000000000004"/>
    <n v="642253"/>
    <n v="3645216"/>
    <n v="5.6756698684163407"/>
    <x v="2"/>
  </r>
  <r>
    <s v="PRD-228"/>
    <x v="227"/>
    <x v="1"/>
    <d v="2023-09-23T00:00:00"/>
    <n v="555"/>
    <s v="Mature"/>
    <n v="16322"/>
    <n v="12361"/>
    <n v="72"/>
    <n v="104"/>
    <n v="1697488"/>
    <n v="286036"/>
    <n v="1411452"/>
    <n v="1285544"/>
    <n v="125908"/>
    <n v="8.9204592150494671E-2"/>
    <n v="9"/>
    <n v="132201"/>
    <n v="0.125"/>
    <n v="33"/>
    <n v="3.35"/>
    <n v="285384"/>
    <n v="4466886"/>
    <n v="15.652194937347574"/>
    <x v="2"/>
  </r>
  <r>
    <s v="PRD-229"/>
    <x v="228"/>
    <x v="1"/>
    <d v="2023-11-09T00:00:00"/>
    <n v="508"/>
    <s v="Mature"/>
    <n v="12740"/>
    <n v="6330"/>
    <n v="83"/>
    <n v="131"/>
    <n v="1668940"/>
    <n v="196315"/>
    <n v="1472625"/>
    <n v="829230"/>
    <n v="643395"/>
    <n v="0.43690348866819456"/>
    <n v="4"/>
    <n v="45864"/>
    <n v="4.8192771084337352E-2"/>
    <n v="34"/>
    <n v="4.46"/>
    <n v="533130"/>
    <n v="11781532"/>
    <n v="22.098797666610395"/>
    <x v="0"/>
  </r>
  <r>
    <s v="PRD-230"/>
    <x v="229"/>
    <x v="1"/>
    <d v="2024-08-02T00:00:00"/>
    <n v="241"/>
    <s v="Mature"/>
    <n v="11648"/>
    <n v="5639"/>
    <n v="38"/>
    <n v="54"/>
    <n v="628992"/>
    <n v="90320"/>
    <n v="538672"/>
    <n v="304506"/>
    <n v="234166"/>
    <n v="0.43470980485341731"/>
    <n v="4"/>
    <n v="41932"/>
    <n v="0.10526315789473684"/>
    <n v="15"/>
    <n v="4.4000000000000004"/>
    <n v="688896"/>
    <n v="11907080"/>
    <n v="17.284292549238202"/>
    <x v="2"/>
  </r>
  <r>
    <s v="PRD-231"/>
    <x v="230"/>
    <x v="1"/>
    <d v="2024-06-22T00:00:00"/>
    <n v="282"/>
    <s v="Mature"/>
    <n v="9199"/>
    <n v="7710"/>
    <n v="118"/>
    <n v="180"/>
    <n v="1655820"/>
    <n v="300865"/>
    <n v="1354955"/>
    <n v="1387800"/>
    <n v="-32845"/>
    <n v="-2.424065743880793E-2"/>
    <n v="14"/>
    <n v="115906"/>
    <n v="0.11864406779661017"/>
    <n v="49"/>
    <n v="3.03"/>
    <n v="372393"/>
    <n v="5515041"/>
    <n v="14.809733265662889"/>
    <x v="2"/>
  </r>
  <r>
    <s v="PRD-232"/>
    <x v="231"/>
    <x v="1"/>
    <d v="2024-10-04T00:00:00"/>
    <n v="178"/>
    <s v="Mature"/>
    <n v="3582"/>
    <n v="2557"/>
    <n v="142"/>
    <n v="197"/>
    <n v="705654"/>
    <n v="134501"/>
    <n v="571153"/>
    <n v="503729"/>
    <n v="67424"/>
    <n v="0.11804892909605658"/>
    <n v="2"/>
    <n v="6446"/>
    <n v="1.4084507042253521E-2"/>
    <n v="58"/>
    <n v="3.72"/>
    <n v="146393"/>
    <n v="642553"/>
    <n v="4.3892330917461901"/>
    <x v="2"/>
  </r>
  <r>
    <s v="PRD-233"/>
    <x v="232"/>
    <x v="1"/>
    <d v="2024-01-31T00:00:00"/>
    <n v="425"/>
    <s v="Mature"/>
    <n v="13632"/>
    <n v="8263"/>
    <n v="78"/>
    <n v="120"/>
    <n v="1635840"/>
    <n v="282963"/>
    <n v="1352877"/>
    <n v="991560"/>
    <n v="361317"/>
    <n v="0.26707305985688279"/>
    <n v="1"/>
    <n v="12268"/>
    <n v="1.282051282051282E-2"/>
    <n v="36"/>
    <n v="4.1500000000000004"/>
    <n v="255163"/>
    <n v="4476584"/>
    <n v="17.544016961706831"/>
    <x v="0"/>
  </r>
  <r>
    <s v="PRD-234"/>
    <x v="233"/>
    <x v="1"/>
    <d v="2023-05-26T00:00:00"/>
    <n v="675"/>
    <s v="Mature"/>
    <n v="3230"/>
    <n v="1958"/>
    <n v="70"/>
    <n v="99"/>
    <n v="319770"/>
    <n v="63988"/>
    <n v="255782"/>
    <n v="193842"/>
    <n v="61940"/>
    <n v="0.24215933881195706"/>
    <n v="3"/>
    <n v="8721"/>
    <n v="4.2857142857142858E-2"/>
    <n v="19"/>
    <n v="4.05"/>
    <n v="435039"/>
    <n v="2073599"/>
    <n v="4.7664669144605423"/>
    <x v="0"/>
  </r>
  <r>
    <s v="PRD-235"/>
    <x v="234"/>
    <x v="1"/>
    <d v="2023-11-11T00:00:00"/>
    <n v="506"/>
    <s v="Mature"/>
    <n v="1489"/>
    <n v="671"/>
    <n v="151"/>
    <n v="238"/>
    <n v="354382"/>
    <n v="48132"/>
    <n v="306250"/>
    <n v="159698"/>
    <n v="146552"/>
    <n v="0.47853714285714288"/>
    <n v="4"/>
    <n v="5360"/>
    <n v="2.6490066225165563E-2"/>
    <n v="65"/>
    <n v="4.41"/>
    <n v="203859"/>
    <n v="216829"/>
    <n v="1.0636224056823589"/>
    <x v="0"/>
  </r>
  <r>
    <s v="PRD-236"/>
    <x v="235"/>
    <x v="1"/>
    <d v="2023-01-18T00:00:00"/>
    <n v="803"/>
    <s v="Mature"/>
    <n v="10076"/>
    <n v="6493"/>
    <n v="52"/>
    <n v="78"/>
    <n v="785928"/>
    <n v="104906"/>
    <n v="681022"/>
    <n v="506454"/>
    <n v="174568"/>
    <n v="0.25633239454819373"/>
    <n v="4"/>
    <n v="36272"/>
    <n v="7.6923076923076927E-2"/>
    <n v="22"/>
    <n v="3.89"/>
    <n v="529316"/>
    <n v="7013245"/>
    <n v="13.249637267719095"/>
    <x v="2"/>
  </r>
  <r>
    <s v="PRD-237"/>
    <x v="236"/>
    <x v="1"/>
    <d v="2024-01-23T00:00:00"/>
    <n v="433"/>
    <s v="Mature"/>
    <n v="4696"/>
    <n v="2427"/>
    <n v="75"/>
    <n v="120"/>
    <n v="563520"/>
    <n v="103267"/>
    <n v="460253"/>
    <n v="291240"/>
    <n v="169013"/>
    <n v="0.3672175955398444"/>
    <n v="8"/>
    <n v="33808"/>
    <n v="0.10666666666666667"/>
    <n v="30"/>
    <n v="4.4800000000000004"/>
    <n v="524449"/>
    <n v="2691370"/>
    <n v="5.1318049991514902"/>
    <x v="2"/>
  </r>
  <r>
    <s v="PRD-238"/>
    <x v="237"/>
    <x v="1"/>
    <d v="2023-09-11T00:00:00"/>
    <n v="567"/>
    <s v="Mature"/>
    <n v="6400"/>
    <n v="5719"/>
    <n v="50"/>
    <n v="73"/>
    <n v="467200"/>
    <n v="52171"/>
    <n v="415029"/>
    <n v="417487"/>
    <n v="-2458"/>
    <n v="-5.9224777063771449E-3"/>
    <n v="4"/>
    <n v="23040"/>
    <n v="0.08"/>
    <n v="28"/>
    <n v="3.11"/>
    <n v="324920"/>
    <n v="3025322"/>
    <n v="9.3109750092330419"/>
    <x v="2"/>
  </r>
  <r>
    <s v="PRD-239"/>
    <x v="238"/>
    <x v="1"/>
    <d v="2022-12-28T00:00:00"/>
    <n v="824"/>
    <s v="Mature"/>
    <n v="14313"/>
    <n v="9562"/>
    <n v="94"/>
    <n v="142"/>
    <n v="2032446"/>
    <n v="255908"/>
    <n v="1776538"/>
    <n v="1357804"/>
    <n v="418734"/>
    <n v="0.23570224785509794"/>
    <n v="11"/>
    <n v="141691"/>
    <n v="0.11702127659574468"/>
    <n v="41"/>
    <n v="3.78"/>
    <n v="338705"/>
    <n v="5622623"/>
    <n v="16.60035429060687"/>
    <x v="2"/>
  </r>
  <r>
    <s v="PRD-240"/>
    <x v="239"/>
    <x v="1"/>
    <d v="2023-05-30T00:00:00"/>
    <n v="671"/>
    <s v="Mature"/>
    <n v="522"/>
    <n v="408"/>
    <n v="409"/>
    <n v="625"/>
    <n v="326250"/>
    <n v="53263"/>
    <n v="272987"/>
    <n v="255000"/>
    <n v="17987"/>
    <n v="6.5889584485708114E-2"/>
    <n v="35"/>
    <n v="16415"/>
    <n v="8.557457212713937E-2"/>
    <n v="162"/>
    <n v="3.31"/>
    <n v="565118"/>
    <n v="322993"/>
    <n v="0.57154965865536045"/>
    <x v="2"/>
  </r>
  <r>
    <s v="PRD-241"/>
    <x v="240"/>
    <x v="1"/>
    <d v="2024-09-09T00:00:00"/>
    <n v="203"/>
    <s v="Mature"/>
    <n v="8869"/>
    <n v="5373"/>
    <n v="50"/>
    <n v="80"/>
    <n v="709520"/>
    <n v="125065"/>
    <n v="584455"/>
    <n v="429840"/>
    <n v="154615"/>
    <n v="0.26454560231326618"/>
    <n v="3"/>
    <n v="23946"/>
    <n v="0.06"/>
    <n v="23"/>
    <n v="4.04"/>
    <n v="682014"/>
    <n v="6562916"/>
    <n v="9.6228464518323662"/>
    <x v="2"/>
  </r>
  <r>
    <s v="PRD-242"/>
    <x v="241"/>
    <x v="1"/>
    <d v="2024-07-16T00:00:00"/>
    <n v="258"/>
    <s v="Mature"/>
    <n v="10489"/>
    <n v="6181"/>
    <n v="87"/>
    <n v="130"/>
    <n v="1363570"/>
    <n v="232591"/>
    <n v="1130979"/>
    <n v="803530"/>
    <n v="327449"/>
    <n v="0.28952703807939845"/>
    <n v="7"/>
    <n v="66080"/>
    <n v="8.0459770114942528E-2"/>
    <n v="29"/>
    <n v="4.22"/>
    <n v="108240"/>
    <n v="1972625"/>
    <n v="18.224547302291203"/>
    <x v="2"/>
  </r>
  <r>
    <s v="PRD-243"/>
    <x v="242"/>
    <x v="1"/>
    <d v="2024-06-12T00:00:00"/>
    <n v="292"/>
    <s v="Mature"/>
    <n v="5318"/>
    <n v="3697"/>
    <n v="106"/>
    <n v="149"/>
    <n v="792382"/>
    <n v="137049"/>
    <n v="655333"/>
    <n v="550853"/>
    <n v="104480"/>
    <n v="0.15943039645493207"/>
    <n v="6"/>
    <n v="28716"/>
    <n v="5.6603773584905662E-2"/>
    <n v="40"/>
    <n v="3.48"/>
    <n v="396660"/>
    <n v="2216034"/>
    <n v="5.5867342308274086"/>
    <x v="2"/>
  </r>
  <r>
    <s v="PRD-244"/>
    <x v="243"/>
    <x v="1"/>
    <d v="2024-06-02T00:00:00"/>
    <n v="302"/>
    <s v="Mature"/>
    <n v="8407"/>
    <n v="4992"/>
    <n v="80"/>
    <n v="121"/>
    <n v="1017247"/>
    <n v="129426"/>
    <n v="887821"/>
    <n v="604032"/>
    <n v="283789"/>
    <n v="0.31964664048270991"/>
    <n v="3"/>
    <n v="22698"/>
    <n v="3.7499999999999999E-2"/>
    <n v="35"/>
    <n v="4.04"/>
    <n v="164508"/>
    <n v="1282042"/>
    <n v="7.7931893889658861"/>
    <x v="0"/>
  </r>
  <r>
    <s v="PRD-245"/>
    <x v="244"/>
    <x v="1"/>
    <d v="2024-04-13T00:00:00"/>
    <n v="352"/>
    <s v="Mature"/>
    <n v="3975"/>
    <n v="3467"/>
    <n v="144"/>
    <n v="219"/>
    <n v="870525"/>
    <n v="106459"/>
    <n v="764066"/>
    <n v="759273"/>
    <n v="4793"/>
    <n v="6.2730182994662764E-3"/>
    <n v="5"/>
    <n v="17885"/>
    <n v="3.4722222222222224E-2"/>
    <n v="65"/>
    <n v="3.12"/>
    <n v="389069"/>
    <n v="2641608"/>
    <n v="6.7895617486872508"/>
    <x v="2"/>
  </r>
  <r>
    <s v="PRD-246"/>
    <x v="245"/>
    <x v="1"/>
    <d v="2023-04-29T00:00:00"/>
    <n v="702"/>
    <s v="Mature"/>
    <n v="14777"/>
    <n v="12526"/>
    <n v="44"/>
    <n v="66"/>
    <n v="975282"/>
    <n v="114525"/>
    <n v="860757"/>
    <n v="826716"/>
    <n v="34041"/>
    <n v="3.9547746925090353E-2"/>
    <n v="3"/>
    <n v="39897"/>
    <n v="6.8181818181818177E-2"/>
    <n v="18"/>
    <n v="2.78"/>
    <n v="688270"/>
    <n v="11363905"/>
    <n v="16.510824240487018"/>
    <x v="2"/>
  </r>
  <r>
    <s v="PRD-247"/>
    <x v="246"/>
    <x v="1"/>
    <d v="2024-01-11T00:00:00"/>
    <n v="445"/>
    <s v="Mature"/>
    <n v="4622"/>
    <n v="3092"/>
    <n v="137"/>
    <n v="205"/>
    <n v="947510"/>
    <n v="124025"/>
    <n v="823485"/>
    <n v="633860"/>
    <n v="189625"/>
    <n v="0.23027134677620115"/>
    <n v="9"/>
    <n v="37431"/>
    <n v="6.569343065693431E-2"/>
    <n v="56"/>
    <n v="3.73"/>
    <n v="187450"/>
    <n v="568836"/>
    <n v="3.0346012269938649"/>
    <x v="2"/>
  </r>
  <r>
    <s v="PRD-248"/>
    <x v="247"/>
    <x v="1"/>
    <d v="2024-11-02T00:00:00"/>
    <n v="149"/>
    <s v="Mature"/>
    <n v="8637"/>
    <n v="4600"/>
    <n v="41"/>
    <n v="61"/>
    <n v="526857"/>
    <n v="91106"/>
    <n v="435751"/>
    <n v="280600"/>
    <n v="155151"/>
    <n v="0.35605426034593152"/>
    <n v="2"/>
    <n v="15546"/>
    <n v="4.878048780487805E-2"/>
    <n v="18"/>
    <n v="4.42"/>
    <n v="31786"/>
    <n v="1130439"/>
    <n v="35.564053356823756"/>
    <x v="0"/>
  </r>
  <r>
    <s v="PRD-249"/>
    <x v="248"/>
    <x v="1"/>
    <d v="2024-01-27T00:00:00"/>
    <n v="429"/>
    <s v="Mature"/>
    <n v="2560"/>
    <n v="1167"/>
    <n v="220"/>
    <n v="328"/>
    <n v="839680"/>
    <n v="114693"/>
    <n v="724987"/>
    <n v="382776"/>
    <n v="342211"/>
    <n v="0.472023636285892"/>
    <n v="7"/>
    <n v="16128"/>
    <n v="3.1818181818181815E-2"/>
    <n v="90"/>
    <n v="4.46"/>
    <n v="415826"/>
    <n v="890602"/>
    <n v="2.1417660271363501"/>
    <x v="0"/>
  </r>
  <r>
    <s v="PRD-250"/>
    <x v="249"/>
    <x v="1"/>
    <d v="2023-10-27T00:00:00"/>
    <n v="521"/>
    <s v="Mature"/>
    <n v="12569"/>
    <n v="5696"/>
    <n v="89"/>
    <n v="136"/>
    <n v="1709384"/>
    <n v="283333"/>
    <n v="1426051"/>
    <n v="774656"/>
    <n v="651395"/>
    <n v="0.45678240119042024"/>
    <n v="12"/>
    <n v="135744"/>
    <n v="0.1348314606741573"/>
    <n v="27"/>
    <n v="4.74"/>
    <n v="266081"/>
    <n v="4897662"/>
    <n v="18.406658122902424"/>
    <x v="2"/>
  </r>
  <r>
    <s v="PRD-251"/>
    <x v="250"/>
    <x v="1"/>
    <d v="2023-09-22T00:00:00"/>
    <n v="556"/>
    <s v="Mature"/>
    <n v="4656"/>
    <n v="2821"/>
    <n v="92"/>
    <n v="138"/>
    <n v="642528"/>
    <n v="77078"/>
    <n v="565450"/>
    <n v="389298"/>
    <n v="176152"/>
    <n v="0.31152533380493413"/>
    <n v="4"/>
    <n v="16760"/>
    <n v="4.3478260869565216E-2"/>
    <n v="39"/>
    <n v="3.78"/>
    <n v="535989"/>
    <n v="2795300"/>
    <n v="5.2152189690460062"/>
    <x v="2"/>
  </r>
  <r>
    <s v="PRD-252"/>
    <x v="251"/>
    <x v="3"/>
    <d v="2023-08-02T00:00:00"/>
    <n v="607"/>
    <s v="Mature"/>
    <n v="412"/>
    <n v="230"/>
    <n v="429"/>
    <n v="638"/>
    <n v="262856"/>
    <n v="35379"/>
    <n v="227477"/>
    <n v="146740"/>
    <n v="80737"/>
    <n v="0.35492379449350925"/>
    <n v="30"/>
    <n v="11100"/>
    <n v="6.9930069930069935E-2"/>
    <n v="173"/>
    <n v="4.22"/>
    <n v="250847"/>
    <n v="90986"/>
    <n v="0.36271512116947779"/>
    <x v="2"/>
  </r>
  <r>
    <s v="PRD-253"/>
    <x v="252"/>
    <x v="3"/>
    <d v="2023-07-10T00:00:00"/>
    <n v="630"/>
    <s v="Mature"/>
    <n v="15392"/>
    <n v="11455"/>
    <n v="63"/>
    <n v="96"/>
    <n v="1477632"/>
    <n v="139089"/>
    <n v="1338543"/>
    <n v="1099680"/>
    <n v="238863"/>
    <n v="0.17845000123268359"/>
    <n v="1"/>
    <n v="13852"/>
    <n v="1.5873015873015872E-2"/>
    <n v="27"/>
    <n v="3.52"/>
    <n v="261454"/>
    <n v="2105593"/>
    <n v="8.0533975383815122"/>
    <x v="2"/>
  </r>
  <r>
    <s v="PRD-254"/>
    <x v="253"/>
    <x v="3"/>
    <d v="2022-12-08T00:00:00"/>
    <n v="844"/>
    <s v="Mature"/>
    <n v="811"/>
    <n v="642"/>
    <n v="132"/>
    <n v="192"/>
    <n v="155712"/>
    <n v="14674"/>
    <n v="141038"/>
    <n v="123264"/>
    <n v="17774"/>
    <n v="0.12602277400416909"/>
    <n v="16"/>
    <n v="11664"/>
    <n v="0.12121212121212122"/>
    <n v="64"/>
    <n v="3.27"/>
    <n v="209479"/>
    <n v="261712"/>
    <n v="1.2493471899331199"/>
    <x v="2"/>
  </r>
  <r>
    <s v="PRD-255"/>
    <x v="254"/>
    <x v="3"/>
    <d v="2023-05-28T00:00:00"/>
    <n v="673"/>
    <s v="Mature"/>
    <n v="1748"/>
    <n v="1256"/>
    <n v="232"/>
    <n v="335"/>
    <n v="585580"/>
    <n v="56910"/>
    <n v="528670"/>
    <n v="420760"/>
    <n v="107910"/>
    <n v="0.20411598918039608"/>
    <n v="10"/>
    <n v="15730"/>
    <n v="4.3103448275862072E-2"/>
    <n v="96"/>
    <n v="3.52"/>
    <n v="324472"/>
    <n v="628019"/>
    <n v="1.935510614167016"/>
    <x v="2"/>
  </r>
  <r>
    <s v="PRD-256"/>
    <x v="255"/>
    <x v="3"/>
    <d v="2024-10-19T00:00:00"/>
    <n v="163"/>
    <s v="Mature"/>
    <n v="7972"/>
    <n v="4248"/>
    <n v="115"/>
    <n v="185"/>
    <n v="1474820"/>
    <n v="238968"/>
    <n v="1235852"/>
    <n v="785880"/>
    <n v="449972"/>
    <n v="0.36409861374986646"/>
    <n v="6"/>
    <n v="43044"/>
    <n v="5.2173913043478258E-2"/>
    <n v="44"/>
    <n v="4.4000000000000004"/>
    <n v="177732"/>
    <n v="1280712"/>
    <n v="7.2058605090810888"/>
    <x v="2"/>
  </r>
  <r>
    <s v="PRD-257"/>
    <x v="256"/>
    <x v="3"/>
    <d v="2023-08-04T00:00:00"/>
    <n v="605"/>
    <s v="Mature"/>
    <n v="17379"/>
    <n v="13912"/>
    <n v="56"/>
    <n v="89"/>
    <n v="1546731"/>
    <n v="263351"/>
    <n v="1283380"/>
    <n v="1238168"/>
    <n v="45212"/>
    <n v="3.5228848821081828E-2"/>
    <n v="10"/>
    <n v="156410"/>
    <n v="0.17857142857142858"/>
    <n v="22"/>
    <n v="3.5"/>
    <n v="224905"/>
    <n v="4633895"/>
    <n v="20.603788266156823"/>
    <x v="2"/>
  </r>
  <r>
    <s v="PRD-258"/>
    <x v="257"/>
    <x v="3"/>
    <d v="2023-09-18T00:00:00"/>
    <n v="560"/>
    <s v="Mature"/>
    <n v="18513"/>
    <n v="12532"/>
    <n v="60"/>
    <n v="88"/>
    <n v="1629144"/>
    <n v="293029"/>
    <n v="1336115"/>
    <n v="1102816"/>
    <n v="233299"/>
    <n v="0.1746099699501914"/>
    <n v="0"/>
    <n v="0"/>
    <n v="0"/>
    <n v="25"/>
    <n v="3.72"/>
    <n v="99755"/>
    <n v="2513571"/>
    <n v="25.197443737156032"/>
    <x v="2"/>
  </r>
  <r>
    <s v="PRD-259"/>
    <x v="258"/>
    <x v="3"/>
    <d v="2023-04-07T00:00:00"/>
    <n v="724"/>
    <s v="Mature"/>
    <n v="5188"/>
    <n v="3969"/>
    <n v="73"/>
    <n v="105"/>
    <n v="544740"/>
    <n v="102909"/>
    <n v="441831"/>
    <n v="416745"/>
    <n v="25086"/>
    <n v="5.6777365101135957E-2"/>
    <n v="10"/>
    <n v="46690"/>
    <n v="0.13698630136986301"/>
    <n v="30"/>
    <n v="3.38"/>
    <n v="693187"/>
    <n v="4332689"/>
    <n v="6.2503898659380512"/>
    <x v="2"/>
  </r>
  <r>
    <s v="PRD-260"/>
    <x v="259"/>
    <x v="3"/>
    <d v="2024-04-28T00:00:00"/>
    <n v="337"/>
    <s v="Mature"/>
    <n v="15471"/>
    <n v="7555"/>
    <n v="28"/>
    <n v="40"/>
    <n v="618840"/>
    <n v="85496"/>
    <n v="533344"/>
    <n v="302200"/>
    <n v="231144"/>
    <n v="0.43338633227335455"/>
    <n v="2"/>
    <n v="27846"/>
    <n v="7.1428571428571425E-2"/>
    <n v="13"/>
    <n v="4.38"/>
    <n v="316105"/>
    <n v="6532472"/>
    <n v="20.66551304155265"/>
    <x v="2"/>
  </r>
  <r>
    <s v="PRD-261"/>
    <x v="260"/>
    <x v="3"/>
    <d v="2024-01-04T00:00:00"/>
    <n v="452"/>
    <s v="Mature"/>
    <n v="11121"/>
    <n v="6772"/>
    <n v="76"/>
    <n v="105"/>
    <n v="1167705"/>
    <n v="168610"/>
    <n v="999095"/>
    <n v="711060"/>
    <n v="288035"/>
    <n v="0.28829590779655589"/>
    <n v="7"/>
    <n v="70056"/>
    <n v="9.2105263157894732E-2"/>
    <n v="29"/>
    <n v="3.91"/>
    <n v="246983"/>
    <n v="1491219"/>
    <n v="6.0377394395565691"/>
    <x v="2"/>
  </r>
  <r>
    <s v="PRD-262"/>
    <x v="261"/>
    <x v="3"/>
    <d v="2023-04-11T00:00:00"/>
    <n v="720"/>
    <s v="Mature"/>
    <n v="1594"/>
    <n v="807"/>
    <n v="82"/>
    <n v="120"/>
    <n v="191280"/>
    <n v="25952"/>
    <n v="165328"/>
    <n v="96840"/>
    <n v="68488"/>
    <n v="0.41425529855801801"/>
    <n v="9"/>
    <n v="12906"/>
    <n v="0.10975609756097561"/>
    <n v="34"/>
    <n v="4.32"/>
    <n v="624525"/>
    <n v="1104263"/>
    <n v="1.7681646050998758"/>
    <x v="2"/>
  </r>
  <r>
    <s v="PRD-263"/>
    <x v="262"/>
    <x v="3"/>
    <d v="2022-10-16T00:00:00"/>
    <n v="897"/>
    <s v="Mature"/>
    <n v="10233"/>
    <n v="4802"/>
    <n v="58"/>
    <n v="86"/>
    <n v="880038"/>
    <n v="81831"/>
    <n v="798207"/>
    <n v="412972"/>
    <n v="385235"/>
    <n v="0.48262543425452292"/>
    <n v="3"/>
    <n v="27627"/>
    <n v="5.1724137931034482E-2"/>
    <n v="24"/>
    <n v="4.4000000000000004"/>
    <n v="503641"/>
    <n v="4261528"/>
    <n v="8.4614397954098255"/>
    <x v="2"/>
  </r>
  <r>
    <s v="PRD-264"/>
    <x v="263"/>
    <x v="3"/>
    <d v="2024-09-20T00:00:00"/>
    <n v="192"/>
    <s v="Mature"/>
    <n v="8248"/>
    <n v="4841"/>
    <n v="56"/>
    <n v="84"/>
    <n v="692832"/>
    <n v="127762"/>
    <n v="565070"/>
    <n v="406644"/>
    <n v="158426"/>
    <n v="0.28036526448050686"/>
    <n v="5"/>
    <n v="37115"/>
    <n v="8.9285714285714288E-2"/>
    <n v="24"/>
    <n v="4.04"/>
    <n v="447473"/>
    <n v="4059551"/>
    <n v="9.0721697175025078"/>
    <x v="2"/>
  </r>
  <r>
    <s v="PRD-265"/>
    <x v="264"/>
    <x v="3"/>
    <d v="2023-10-04T00:00:00"/>
    <n v="544"/>
    <s v="Mature"/>
    <n v="12071"/>
    <n v="9188"/>
    <n v="60"/>
    <n v="93"/>
    <n v="1122603"/>
    <n v="133776"/>
    <n v="988827"/>
    <n v="854484"/>
    <n v="134343"/>
    <n v="0.13586097466998778"/>
    <n v="2"/>
    <n v="21726"/>
    <n v="3.3333333333333333E-2"/>
    <n v="23"/>
    <n v="3.61"/>
    <n v="575100"/>
    <n v="5360790"/>
    <n v="9.3214919144496609"/>
    <x v="2"/>
  </r>
  <r>
    <s v="PRD-266"/>
    <x v="265"/>
    <x v="3"/>
    <d v="2023-11-28T00:00:00"/>
    <n v="489"/>
    <s v="Mature"/>
    <n v="6955"/>
    <n v="5099"/>
    <n v="127"/>
    <n v="189"/>
    <n v="1314495"/>
    <n v="148470"/>
    <n v="1166025"/>
    <n v="963711"/>
    <n v="202314"/>
    <n v="0.17350742908599731"/>
    <n v="19"/>
    <n v="118921"/>
    <n v="0.14960629921259844"/>
    <n v="41"/>
    <n v="3.43"/>
    <n v="151870"/>
    <n v="1351611"/>
    <n v="8.8997892934746829"/>
    <x v="2"/>
  </r>
  <r>
    <s v="PRD-267"/>
    <x v="266"/>
    <x v="3"/>
    <d v="2023-07-30T00:00:00"/>
    <n v="610"/>
    <s v="Mature"/>
    <n v="19276"/>
    <n v="11102"/>
    <n v="72"/>
    <n v="113"/>
    <n v="2178188"/>
    <n v="380557"/>
    <n v="1797631"/>
    <n v="1254526"/>
    <n v="543105"/>
    <n v="0.30212262694624203"/>
    <n v="10"/>
    <n v="173480"/>
    <n v="0.1388888888888889"/>
    <n v="23"/>
    <n v="4.3499999999999996"/>
    <n v="592701"/>
    <n v="11535983"/>
    <n v="19.463410724800532"/>
    <x v="2"/>
  </r>
  <r>
    <s v="PRD-268"/>
    <x v="267"/>
    <x v="3"/>
    <d v="2024-02-13T00:00:00"/>
    <n v="412"/>
    <s v="Mature"/>
    <n v="8731"/>
    <n v="4858"/>
    <n v="36"/>
    <n v="55"/>
    <n v="480205"/>
    <n v="52255"/>
    <n v="427950"/>
    <n v="267190"/>
    <n v="160760"/>
    <n v="0.37565136114032011"/>
    <n v="5"/>
    <n v="39285"/>
    <n v="0.1388888888888889"/>
    <n v="15"/>
    <n v="4.07"/>
    <n v="168638"/>
    <n v="1460971"/>
    <n v="8.6633558272749909"/>
    <x v="2"/>
  </r>
  <r>
    <s v="PRD-269"/>
    <x v="268"/>
    <x v="3"/>
    <d v="2024-04-12T00:00:00"/>
    <n v="353"/>
    <s v="Mature"/>
    <n v="5845"/>
    <n v="4892"/>
    <n v="139"/>
    <n v="204"/>
    <n v="1192380"/>
    <n v="175581"/>
    <n v="1016799"/>
    <n v="997968"/>
    <n v="18831"/>
    <n v="1.8519884460940658E-2"/>
    <n v="10"/>
    <n v="52600"/>
    <n v="7.1942446043165464E-2"/>
    <n v="55"/>
    <n v="3.18"/>
    <n v="183352"/>
    <n v="1098920"/>
    <n v="5.9934988437540904"/>
    <x v="2"/>
  </r>
  <r>
    <s v="PRD-270"/>
    <x v="269"/>
    <x v="3"/>
    <d v="2022-12-16T00:00:00"/>
    <n v="836"/>
    <s v="Mature"/>
    <n v="1407"/>
    <n v="735"/>
    <n v="132"/>
    <n v="193"/>
    <n v="271551"/>
    <n v="46431"/>
    <n v="225120"/>
    <n v="141855"/>
    <n v="83265"/>
    <n v="0.36986940298507465"/>
    <n v="7"/>
    <n v="8862"/>
    <n v="5.3030303030303032E-2"/>
    <n v="63"/>
    <n v="4.3099999999999996"/>
    <n v="269252"/>
    <n v="470104"/>
    <n v="1.7459628897835484"/>
    <x v="2"/>
  </r>
  <r>
    <s v="PRD-271"/>
    <x v="270"/>
    <x v="3"/>
    <d v="2022-10-10T00:00:00"/>
    <n v="903"/>
    <s v="Mature"/>
    <n v="2526"/>
    <n v="1469"/>
    <n v="186"/>
    <n v="274"/>
    <n v="692124"/>
    <n v="118969"/>
    <n v="573155"/>
    <n v="402506"/>
    <n v="170649"/>
    <n v="0.2977362144620565"/>
    <n v="9"/>
    <n v="20457"/>
    <n v="4.8387096774193547E-2"/>
    <n v="65"/>
    <n v="4.1500000000000004"/>
    <n v="553048"/>
    <n v="1826175"/>
    <n v="3.3020189929264729"/>
    <x v="0"/>
  </r>
  <r>
    <s v="PRD-272"/>
    <x v="271"/>
    <x v="3"/>
    <d v="2022-10-13T00:00:00"/>
    <n v="900"/>
    <s v="Mature"/>
    <n v="17738"/>
    <n v="11560"/>
    <n v="40"/>
    <n v="58"/>
    <n v="1028804"/>
    <n v="129181"/>
    <n v="899623"/>
    <n v="670480"/>
    <n v="229143"/>
    <n v="0.25471002853417485"/>
    <n v="4"/>
    <n v="63856"/>
    <n v="0.1"/>
    <n v="16"/>
    <n v="3.94"/>
    <n v="652501"/>
    <n v="8784997"/>
    <n v="13.463576301032489"/>
    <x v="2"/>
  </r>
  <r>
    <s v="PRD-273"/>
    <x v="272"/>
    <x v="3"/>
    <d v="2024-08-21T00:00:00"/>
    <n v="222"/>
    <s v="Mature"/>
    <n v="16755"/>
    <n v="8948"/>
    <n v="66"/>
    <n v="105"/>
    <n v="1759275"/>
    <n v="225089"/>
    <n v="1534186"/>
    <n v="939540"/>
    <n v="594646"/>
    <n v="0.3875970710200719"/>
    <n v="5"/>
    <n v="75395"/>
    <n v="7.575757575757576E-2"/>
    <n v="26"/>
    <n v="4.3499999999999996"/>
    <n v="99261"/>
    <n v="1215153"/>
    <n v="12.24199836793907"/>
    <x v="4"/>
  </r>
  <r>
    <s v="PRD-274"/>
    <x v="273"/>
    <x v="3"/>
    <d v="2023-06-16T00:00:00"/>
    <n v="654"/>
    <s v="Mature"/>
    <n v="6588"/>
    <n v="4091"/>
    <n v="121"/>
    <n v="175"/>
    <n v="1152900"/>
    <n v="172890"/>
    <n v="980010"/>
    <n v="715925"/>
    <n v="264085"/>
    <n v="0.26947174008428487"/>
    <n v="5"/>
    <n v="29645"/>
    <n v="4.1322314049586778E-2"/>
    <n v="34"/>
    <n v="3.87"/>
    <n v="174726"/>
    <n v="1929248"/>
    <n v="11.041562217414695"/>
    <x v="2"/>
  </r>
  <r>
    <s v="PRD-275"/>
    <x v="274"/>
    <x v="3"/>
    <d v="2024-09-13T00:00:00"/>
    <n v="199"/>
    <s v="Mature"/>
    <n v="18812"/>
    <n v="14871"/>
    <n v="58"/>
    <n v="85"/>
    <n v="1599020"/>
    <n v="246657"/>
    <n v="1352363"/>
    <n v="1264035"/>
    <n v="88328"/>
    <n v="6.5313824764504799E-2"/>
    <n v="8"/>
    <n v="135440"/>
    <n v="0.13793103448275862"/>
    <n v="20"/>
    <n v="3.2"/>
    <n v="631828"/>
    <n v="9583577"/>
    <n v="15.168015662490424"/>
    <x v="2"/>
  </r>
  <r>
    <s v="PRD-276"/>
    <x v="275"/>
    <x v="3"/>
    <d v="2023-10-22T00:00:00"/>
    <n v="526"/>
    <s v="Mature"/>
    <n v="3362"/>
    <n v="2412"/>
    <n v="176"/>
    <n v="264"/>
    <n v="887568"/>
    <n v="99032"/>
    <n v="788536"/>
    <n v="636768"/>
    <n v="151768"/>
    <n v="0.19246806740592692"/>
    <n v="25"/>
    <n v="75625"/>
    <n v="0.14204545454545456"/>
    <n v="71"/>
    <n v="3.62"/>
    <n v="508598"/>
    <n v="1041528"/>
    <n v="2.0478413206501007"/>
    <x v="2"/>
  </r>
  <r>
    <s v="PRD-277"/>
    <x v="276"/>
    <x v="3"/>
    <d v="2023-01-06T00:00:00"/>
    <n v="815"/>
    <s v="Mature"/>
    <n v="11154"/>
    <n v="7198"/>
    <n v="37"/>
    <n v="57"/>
    <n v="635778"/>
    <n v="102378"/>
    <n v="533400"/>
    <n v="410286"/>
    <n v="123114"/>
    <n v="0.23080989876265467"/>
    <n v="3"/>
    <n v="30114"/>
    <n v="8.1081081081081086E-2"/>
    <n v="16"/>
    <n v="4.0599999999999996"/>
    <n v="598492"/>
    <n v="9284849"/>
    <n v="15.51373953202382"/>
    <x v="2"/>
  </r>
  <r>
    <s v="PRD-278"/>
    <x v="277"/>
    <x v="3"/>
    <d v="2022-12-16T00:00:00"/>
    <n v="836"/>
    <s v="Mature"/>
    <n v="9182"/>
    <n v="8071"/>
    <n v="39"/>
    <n v="57"/>
    <n v="523374"/>
    <n v="54236"/>
    <n v="469138"/>
    <n v="460047"/>
    <n v="9091"/>
    <n v="1.9378093439457046E-2"/>
    <n v="2"/>
    <n v="16526"/>
    <n v="5.128205128205128E-2"/>
    <n v="15"/>
    <n v="2.63"/>
    <n v="658403"/>
    <n v="6961659"/>
    <n v="10.573552975912929"/>
    <x v="2"/>
  </r>
  <r>
    <s v="PRD-279"/>
    <x v="278"/>
    <x v="3"/>
    <d v="2024-05-24T00:00:00"/>
    <n v="311"/>
    <s v="Mature"/>
    <n v="812"/>
    <n v="379"/>
    <n v="366"/>
    <n v="546"/>
    <n v="443352"/>
    <n v="70421"/>
    <n v="372931"/>
    <n v="206934"/>
    <n v="165997"/>
    <n v="0.44511451179976991"/>
    <n v="18"/>
    <n v="13140"/>
    <n v="4.9180327868852458E-2"/>
    <n v="132"/>
    <n v="4.45"/>
    <n v="371318"/>
    <n v="444992"/>
    <n v="1.1984121426917089"/>
    <x v="0"/>
  </r>
  <r>
    <s v="PRD-280"/>
    <x v="279"/>
    <x v="3"/>
    <d v="2023-11-03T00:00:00"/>
    <n v="514"/>
    <s v="Mature"/>
    <n v="8178"/>
    <n v="5274"/>
    <n v="120"/>
    <n v="165"/>
    <n v="1349370"/>
    <n v="172941"/>
    <n v="1176429"/>
    <n v="870210"/>
    <n v="306219"/>
    <n v="0.26029535144067345"/>
    <n v="4"/>
    <n v="29440"/>
    <n v="3.3333333333333333E-2"/>
    <n v="47"/>
    <n v="3.9"/>
    <n v="225753"/>
    <n v="1707141"/>
    <n v="7.5619858872307342"/>
    <x v="2"/>
  </r>
  <r>
    <s v="PRD-281"/>
    <x v="280"/>
    <x v="3"/>
    <d v="2023-09-20T00:00:00"/>
    <n v="558"/>
    <s v="Mature"/>
    <n v="16708"/>
    <n v="9432"/>
    <n v="43"/>
    <n v="63"/>
    <n v="1052604"/>
    <n v="179983"/>
    <n v="872621"/>
    <n v="594216"/>
    <n v="278405"/>
    <n v="0.31904457949098175"/>
    <n v="3"/>
    <n v="45111"/>
    <n v="6.9767441860465115E-2"/>
    <n v="16"/>
    <n v="4.09"/>
    <n v="486721"/>
    <n v="4119470"/>
    <n v="8.4637194614573854"/>
    <x v="2"/>
  </r>
  <r>
    <s v="PRD-282"/>
    <x v="281"/>
    <x v="3"/>
    <d v="2024-12-01T00:00:00"/>
    <n v="120"/>
    <s v="Mature"/>
    <n v="19815"/>
    <n v="14296"/>
    <n v="56"/>
    <n v="82"/>
    <n v="1624830"/>
    <n v="275213"/>
    <n v="1349617"/>
    <n v="1172272"/>
    <n v="177345"/>
    <n v="0.13140394645295667"/>
    <n v="6"/>
    <n v="106998"/>
    <n v="0.10714285714285714"/>
    <n v="16"/>
    <n v="3.56"/>
    <n v="513871"/>
    <n v="10926890"/>
    <n v="21.263877510114405"/>
    <x v="2"/>
  </r>
  <r>
    <s v="PRD-283"/>
    <x v="282"/>
    <x v="3"/>
    <d v="2023-12-17T00:00:00"/>
    <n v="470"/>
    <s v="Mature"/>
    <n v="18420"/>
    <n v="8776"/>
    <n v="87"/>
    <n v="136"/>
    <n v="2505120"/>
    <n v="369645"/>
    <n v="2135475"/>
    <n v="1193536"/>
    <n v="941939"/>
    <n v="0.44109109214577552"/>
    <n v="3"/>
    <n v="49734"/>
    <n v="3.4482758620689655E-2"/>
    <n v="28"/>
    <n v="4.55"/>
    <n v="607590"/>
    <n v="15458667"/>
    <n v="25.442596158593787"/>
    <x v="0"/>
  </r>
  <r>
    <s v="PRD-284"/>
    <x v="283"/>
    <x v="3"/>
    <d v="2023-03-07T00:00:00"/>
    <n v="755"/>
    <s v="Mature"/>
    <n v="2707"/>
    <n v="2336"/>
    <n v="206"/>
    <n v="310"/>
    <n v="839170"/>
    <n v="76291"/>
    <n v="762879"/>
    <n v="724160"/>
    <n v="38719"/>
    <n v="5.0753789264090375E-2"/>
    <n v="4"/>
    <n v="9744"/>
    <n v="1.9417475728155338E-2"/>
    <n v="90"/>
    <n v="3.07"/>
    <n v="466007"/>
    <n v="761813"/>
    <n v="1.6347672889033855"/>
    <x v="2"/>
  </r>
  <r>
    <s v="PRD-285"/>
    <x v="284"/>
    <x v="3"/>
    <d v="2023-08-12T00:00:00"/>
    <n v="597"/>
    <s v="Mature"/>
    <n v="3297"/>
    <n v="2959"/>
    <n v="84"/>
    <n v="132"/>
    <n v="435204"/>
    <n v="39254"/>
    <n v="395950"/>
    <n v="390588"/>
    <n v="5362"/>
    <n v="1.3542113903270614E-2"/>
    <n v="6"/>
    <n v="17802"/>
    <n v="7.1428571428571425E-2"/>
    <n v="36"/>
    <n v="2.81"/>
    <n v="405084"/>
    <n v="1864591"/>
    <n v="4.6029737042193721"/>
    <x v="2"/>
  </r>
  <r>
    <s v="PRD-286"/>
    <x v="285"/>
    <x v="3"/>
    <d v="2023-11-22T00:00:00"/>
    <n v="495"/>
    <s v="Mature"/>
    <n v="18550"/>
    <n v="12064"/>
    <n v="83"/>
    <n v="125"/>
    <n v="2318750"/>
    <n v="312277"/>
    <n v="2006473"/>
    <n v="1508000"/>
    <n v="498473"/>
    <n v="0.24843244838081549"/>
    <n v="6"/>
    <n v="100170"/>
    <n v="7.2289156626506021E-2"/>
    <n v="45"/>
    <n v="3.89"/>
    <n v="597108"/>
    <n v="19382525"/>
    <n v="32.460668756740823"/>
    <x v="2"/>
  </r>
  <r>
    <s v="PRD-287"/>
    <x v="286"/>
    <x v="3"/>
    <d v="2023-11-28T00:00:00"/>
    <n v="489"/>
    <s v="Mature"/>
    <n v="12922"/>
    <n v="11558"/>
    <n v="102"/>
    <n v="149"/>
    <n v="1925378"/>
    <n v="237349"/>
    <n v="1688029"/>
    <n v="1722142"/>
    <n v="-34113"/>
    <n v="-2.0208776034061026E-2"/>
    <n v="7"/>
    <n v="81403"/>
    <n v="6.8627450980392163E-2"/>
    <n v="36"/>
    <n v="2.85"/>
    <n v="121931"/>
    <n v="514746"/>
    <n v="4.2216171441224954"/>
    <x v="2"/>
  </r>
  <r>
    <s v="PRD-288"/>
    <x v="287"/>
    <x v="3"/>
    <d v="2023-07-03T00:00:00"/>
    <n v="637"/>
    <s v="Mature"/>
    <n v="12774"/>
    <n v="10522"/>
    <n v="88"/>
    <n v="131"/>
    <n v="1673394"/>
    <n v="183881"/>
    <n v="1489513"/>
    <n v="1378382"/>
    <n v="111131"/>
    <n v="7.4608949368014918E-2"/>
    <n v="3"/>
    <n v="34488"/>
    <n v="3.4090909090909088E-2"/>
    <n v="32"/>
    <n v="3.38"/>
    <n v="99894"/>
    <n v="1652636"/>
    <n v="16.54389653032214"/>
    <x v="2"/>
  </r>
  <r>
    <s v="PRD-289"/>
    <x v="288"/>
    <x v="3"/>
    <d v="2023-06-10T00:00:00"/>
    <n v="660"/>
    <s v="Mature"/>
    <n v="2819"/>
    <n v="2078"/>
    <n v="141"/>
    <n v="215"/>
    <n v="606085"/>
    <n v="113293"/>
    <n v="492792"/>
    <n v="446770"/>
    <n v="46022"/>
    <n v="9.3390314777837297E-2"/>
    <n v="7"/>
    <n v="17759"/>
    <n v="4.9645390070921988E-2"/>
    <n v="47"/>
    <n v="3.33"/>
    <n v="172951"/>
    <n v="575217"/>
    <n v="3.3258957739475341"/>
    <x v="2"/>
  </r>
  <r>
    <s v="PRD-290"/>
    <x v="289"/>
    <x v="3"/>
    <d v="2023-09-06T00:00:00"/>
    <n v="572"/>
    <s v="Mature"/>
    <n v="520"/>
    <n v="245"/>
    <n v="197"/>
    <n v="292"/>
    <n v="151840"/>
    <n v="27494"/>
    <n v="124346"/>
    <n v="71540"/>
    <n v="52806"/>
    <n v="0.42466987277435542"/>
    <n v="26"/>
    <n v="12168"/>
    <n v="0.13197969543147209"/>
    <n v="82"/>
    <n v="4.57"/>
    <n v="613776"/>
    <n v="407416"/>
    <n v="0.66378613696201871"/>
    <x v="2"/>
  </r>
  <r>
    <s v="PRD-291"/>
    <x v="290"/>
    <x v="3"/>
    <d v="2024-06-09T00:00:00"/>
    <n v="295"/>
    <s v="Mature"/>
    <n v="4759"/>
    <n v="3639"/>
    <n v="172"/>
    <n v="249"/>
    <n v="1184991"/>
    <n v="198725"/>
    <n v="986266"/>
    <n v="906111"/>
    <n v="80155"/>
    <n v="8.1271178363646321E-2"/>
    <n v="6"/>
    <n v="25698"/>
    <n v="3.4883720930232558E-2"/>
    <n v="61"/>
    <n v="3.5"/>
    <n v="289984"/>
    <n v="1402708"/>
    <n v="4.8371910174354449"/>
    <x v="2"/>
  </r>
  <r>
    <s v="PRD-292"/>
    <x v="291"/>
    <x v="3"/>
    <d v="2024-12-09T00:00:00"/>
    <n v="112"/>
    <s v="Mature"/>
    <n v="16388"/>
    <n v="7612"/>
    <n v="50"/>
    <n v="79"/>
    <n v="1294652"/>
    <n v="204393"/>
    <n v="1090259"/>
    <n v="601348"/>
    <n v="488911"/>
    <n v="0.44843564694260724"/>
    <n v="3"/>
    <n v="44247"/>
    <n v="0.06"/>
    <n v="21"/>
    <n v="4.6399999999999997"/>
    <n v="660647"/>
    <n v="13001378"/>
    <n v="19.679765442059072"/>
    <x v="2"/>
  </r>
  <r>
    <s v="PRD-293"/>
    <x v="292"/>
    <x v="3"/>
    <d v="2024-04-11T00:00:00"/>
    <n v="354"/>
    <s v="Mature"/>
    <n v="6846"/>
    <n v="4336"/>
    <n v="49"/>
    <n v="80"/>
    <n v="547680"/>
    <n v="68283"/>
    <n v="479397"/>
    <n v="346880"/>
    <n v="132517"/>
    <n v="0.27642434141223243"/>
    <n v="1"/>
    <n v="6161"/>
    <n v="2.0408163265306121E-2"/>
    <n v="21"/>
    <n v="3.9"/>
    <n v="119873"/>
    <n v="582148"/>
    <n v="4.8563729947527801"/>
    <x v="2"/>
  </r>
  <r>
    <s v="PRD-294"/>
    <x v="293"/>
    <x v="3"/>
    <d v="2024-12-23T00:00:00"/>
    <n v="98"/>
    <s v="Mature"/>
    <n v="2565"/>
    <n v="1363"/>
    <n v="200"/>
    <n v="291"/>
    <n v="746415"/>
    <n v="92493"/>
    <n v="653922"/>
    <n v="396633"/>
    <n v="257289"/>
    <n v="0.39345518272821528"/>
    <n v="10"/>
    <n v="23080"/>
    <n v="0.05"/>
    <n v="76"/>
    <n v="4.25"/>
    <n v="157197"/>
    <n v="853885"/>
    <n v="5.431942085408755"/>
    <x v="2"/>
  </r>
  <r>
    <s v="PRD-295"/>
    <x v="294"/>
    <x v="3"/>
    <d v="2022-12-15T00:00:00"/>
    <n v="837"/>
    <s v="Mature"/>
    <n v="14164"/>
    <n v="7718"/>
    <n v="81"/>
    <n v="117"/>
    <n v="1657188"/>
    <n v="172119"/>
    <n v="1485069"/>
    <n v="903006"/>
    <n v="582063"/>
    <n v="0.39194340464988497"/>
    <n v="7"/>
    <n v="89229"/>
    <n v="8.6419753086419748E-2"/>
    <n v="30"/>
    <n v="4.22"/>
    <n v="184301"/>
    <n v="3692881"/>
    <n v="20.037227144725204"/>
    <x v="2"/>
  </r>
  <r>
    <s v="PRD-296"/>
    <x v="295"/>
    <x v="3"/>
    <d v="2023-10-04T00:00:00"/>
    <n v="544"/>
    <s v="Mature"/>
    <n v="18113"/>
    <n v="16002"/>
    <n v="72"/>
    <n v="109"/>
    <n v="1974317"/>
    <n v="309942"/>
    <n v="1664375"/>
    <n v="1744218"/>
    <n v="-79843"/>
    <n v="-4.7971761171610963E-2"/>
    <n v="2"/>
    <n v="32602"/>
    <n v="2.7777777777777776E-2"/>
    <n v="29"/>
    <n v="2.93"/>
    <n v="285616"/>
    <n v="1593384"/>
    <n v="5.5787630945045095"/>
    <x v="2"/>
  </r>
  <r>
    <s v="PRD-297"/>
    <x v="296"/>
    <x v="3"/>
    <d v="2024-06-19T00:00:00"/>
    <n v="285"/>
    <s v="Mature"/>
    <n v="11931"/>
    <n v="9844"/>
    <n v="64"/>
    <n v="95"/>
    <n v="1133445"/>
    <n v="159613"/>
    <n v="973832"/>
    <n v="935180"/>
    <n v="38652"/>
    <n v="3.9690624255518406E-2"/>
    <n v="4"/>
    <n v="42948"/>
    <n v="6.25E-2"/>
    <n v="27"/>
    <n v="3.54"/>
    <n v="284925"/>
    <n v="2977721"/>
    <n v="10.450894094937265"/>
    <x v="2"/>
  </r>
  <r>
    <s v="PRD-298"/>
    <x v="297"/>
    <x v="3"/>
    <d v="2023-01-09T00:00:00"/>
    <n v="812"/>
    <s v="Mature"/>
    <n v="14404"/>
    <n v="12276"/>
    <n v="50"/>
    <n v="79"/>
    <n v="1137916"/>
    <n v="207851"/>
    <n v="930065"/>
    <n v="969804"/>
    <n v="-39739"/>
    <n v="-4.2727121222710239E-2"/>
    <n v="1"/>
    <n v="12963"/>
    <n v="0.02"/>
    <n v="18"/>
    <n v="3.14"/>
    <n v="140953"/>
    <n v="3184544"/>
    <n v="22.592949422857263"/>
    <x v="2"/>
  </r>
  <r>
    <s v="PRD-299"/>
    <x v="298"/>
    <x v="3"/>
    <d v="2024-01-18T00:00:00"/>
    <n v="438"/>
    <s v="Mature"/>
    <n v="14906"/>
    <n v="10905"/>
    <n v="34"/>
    <n v="51"/>
    <n v="760206"/>
    <n v="108299"/>
    <n v="651907"/>
    <n v="556155"/>
    <n v="95752"/>
    <n v="0.14687984635845297"/>
    <n v="2"/>
    <n v="26830"/>
    <n v="5.8823529411764705E-2"/>
    <n v="15"/>
    <n v="3.67"/>
    <n v="153451"/>
    <n v="2351252"/>
    <n v="15.322493825390515"/>
    <x v="2"/>
  </r>
  <r>
    <s v="PRD-300"/>
    <x v="299"/>
    <x v="3"/>
    <d v="2022-12-27T00:00:00"/>
    <n v="825"/>
    <s v="Mature"/>
    <n v="3724"/>
    <n v="2856"/>
    <n v="103"/>
    <n v="154"/>
    <n v="573496"/>
    <n v="91350"/>
    <n v="482146"/>
    <n v="439824"/>
    <n v="42322"/>
    <n v="8.7778390777897147E-2"/>
    <n v="10"/>
    <n v="33510"/>
    <n v="9.7087378640776698E-2"/>
    <n v="44"/>
    <n v="3.36"/>
    <n v="774871"/>
    <n v="3241192"/>
    <n v="4.1828794728412859"/>
    <x v="2"/>
  </r>
  <r>
    <s v="PRD-301"/>
    <x v="300"/>
    <x v="3"/>
    <d v="2024-01-31T00:00:00"/>
    <n v="425"/>
    <s v="Mature"/>
    <n v="17374"/>
    <n v="11860"/>
    <n v="83"/>
    <n v="127"/>
    <n v="2206498"/>
    <n v="400219"/>
    <n v="1806279"/>
    <n v="1506220"/>
    <n v="300059"/>
    <n v="0.16611996264143025"/>
    <n v="6"/>
    <n v="93816"/>
    <n v="7.2289156626506021E-2"/>
    <n v="28"/>
    <n v="3.75"/>
    <n v="484869"/>
    <n v="10995849"/>
    <n v="22.677979000513542"/>
    <x v="2"/>
  </r>
  <r>
    <s v="PRD-302"/>
    <x v="301"/>
    <x v="3"/>
    <d v="2024-07-25T00:00:00"/>
    <n v="249"/>
    <s v="Mature"/>
    <n v="1039"/>
    <n v="538"/>
    <n v="171"/>
    <n v="270"/>
    <n v="280530"/>
    <n v="35363"/>
    <n v="245167"/>
    <n v="145260"/>
    <n v="99907"/>
    <n v="0.40750590413881149"/>
    <n v="15"/>
    <n v="14025"/>
    <n v="8.771929824561403E-2"/>
    <n v="57"/>
    <n v="4.46"/>
    <n v="684314"/>
    <n v="399541"/>
    <n v="0.58385624143302639"/>
    <x v="2"/>
  </r>
  <r>
    <s v="PRD-303"/>
    <x v="302"/>
    <x v="3"/>
    <d v="2024-04-26T00:00:00"/>
    <n v="339"/>
    <s v="Mature"/>
    <n v="18383"/>
    <n v="15220"/>
    <n v="58"/>
    <n v="89"/>
    <n v="1636087"/>
    <n v="191832"/>
    <n v="1444255"/>
    <n v="1354580"/>
    <n v="89675"/>
    <n v="6.2090835759613085E-2"/>
    <n v="1"/>
    <n v="16544"/>
    <n v="1.7241379310344827E-2"/>
    <n v="26"/>
    <n v="3.12"/>
    <n v="119661"/>
    <n v="2218291"/>
    <n v="18.538128546477132"/>
    <x v="2"/>
  </r>
  <r>
    <s v="PRD-304"/>
    <x v="303"/>
    <x v="3"/>
    <d v="2024-06-20T00:00:00"/>
    <n v="284"/>
    <s v="Mature"/>
    <n v="13261"/>
    <n v="11760"/>
    <n v="44"/>
    <n v="66"/>
    <n v="875226"/>
    <n v="136053"/>
    <n v="739173"/>
    <n v="776160"/>
    <n v="-36987"/>
    <n v="-5.003835367363256E-2"/>
    <n v="2"/>
    <n v="23868"/>
    <n v="4.5454545454545456E-2"/>
    <n v="22"/>
    <n v="2.95"/>
    <n v="391682"/>
    <n v="6248446"/>
    <n v="15.952854611649245"/>
    <x v="2"/>
  </r>
  <r>
    <s v="PRD-305"/>
    <x v="304"/>
    <x v="3"/>
    <d v="2024-12-24T00:00:00"/>
    <n v="97"/>
    <s v="Mature"/>
    <n v="9419"/>
    <n v="5288"/>
    <n v="58"/>
    <n v="87"/>
    <n v="819453"/>
    <n v="121926"/>
    <n v="697527"/>
    <n v="460056"/>
    <n v="237471"/>
    <n v="0.34044703645880375"/>
    <n v="5"/>
    <n v="42385"/>
    <n v="8.6206896551724144E-2"/>
    <n v="28"/>
    <n v="4.2300000000000004"/>
    <n v="677321"/>
    <n v="6322024"/>
    <n v="9.3338668076141147"/>
    <x v="2"/>
  </r>
  <r>
    <s v="PRD-306"/>
    <x v="305"/>
    <x v="3"/>
    <d v="2024-08-17T00:00:00"/>
    <n v="226"/>
    <s v="Mature"/>
    <n v="15292"/>
    <n v="12978"/>
    <n v="46"/>
    <n v="67"/>
    <n v="1024564"/>
    <n v="139632"/>
    <n v="884932"/>
    <n v="869526"/>
    <n v="15406"/>
    <n v="1.740924726419657E-2"/>
    <n v="6"/>
    <n v="82572"/>
    <n v="0.13043478260869565"/>
    <n v="14"/>
    <n v="3"/>
    <n v="372776"/>
    <n v="5416364"/>
    <n v="14.529808785973346"/>
    <x v="2"/>
  </r>
  <r>
    <s v="PRD-307"/>
    <x v="306"/>
    <x v="3"/>
    <d v="2023-09-26T00:00:00"/>
    <n v="552"/>
    <s v="Mature"/>
    <n v="19533"/>
    <n v="16575"/>
    <n v="40"/>
    <n v="57"/>
    <n v="1113381"/>
    <n v="119791"/>
    <n v="993590"/>
    <n v="944775"/>
    <n v="48815"/>
    <n v="4.9129922805181213E-2"/>
    <n v="1"/>
    <n v="17579"/>
    <n v="2.5000000000000001E-2"/>
    <n v="12"/>
    <n v="3.38"/>
    <n v="666332"/>
    <n v="12382228"/>
    <n v="18.582670500591298"/>
    <x v="2"/>
  </r>
  <r>
    <s v="PRD-308"/>
    <x v="307"/>
    <x v="3"/>
    <d v="2023-02-15T00:00:00"/>
    <n v="775"/>
    <s v="Mature"/>
    <n v="19637"/>
    <n v="16924"/>
    <n v="84"/>
    <n v="121"/>
    <n v="2376077"/>
    <n v="234671"/>
    <n v="2141406"/>
    <n v="2047804"/>
    <n v="93602"/>
    <n v="4.3710534107030616E-2"/>
    <n v="2"/>
    <n v="35346"/>
    <n v="2.3809523809523808E-2"/>
    <n v="31"/>
    <n v="3.02"/>
    <n v="290970"/>
    <n v="6243014"/>
    <n v="21.455868302574149"/>
    <x v="2"/>
  </r>
  <r>
    <s v="PRD-309"/>
    <x v="308"/>
    <x v="3"/>
    <d v="2023-02-19T00:00:00"/>
    <n v="771"/>
    <s v="Mature"/>
    <n v="13028"/>
    <n v="9273"/>
    <n v="65"/>
    <n v="99"/>
    <n v="1289772"/>
    <n v="184634"/>
    <n v="1105138"/>
    <n v="918027"/>
    <n v="187111"/>
    <n v="0.16931007711254159"/>
    <n v="6"/>
    <n v="70350"/>
    <n v="9.2307692307692313E-2"/>
    <n v="21"/>
    <n v="3.79"/>
    <n v="351400"/>
    <n v="5167756"/>
    <n v="14.706192373363688"/>
    <x v="2"/>
  </r>
  <r>
    <s v="PRD-310"/>
    <x v="309"/>
    <x v="3"/>
    <d v="2023-07-23T00:00:00"/>
    <n v="617"/>
    <s v="Mature"/>
    <n v="18482"/>
    <n v="15245"/>
    <n v="43"/>
    <n v="66"/>
    <n v="1219812"/>
    <n v="213384"/>
    <n v="1006428"/>
    <n v="1006170"/>
    <n v="258"/>
    <n v="2.5635216826240922E-4"/>
    <n v="5"/>
    <n v="83165"/>
    <n v="0.11627906976744186"/>
    <n v="11"/>
    <n v="3.23"/>
    <n v="221287"/>
    <n v="8428955"/>
    <n v="38.090601797665478"/>
    <x v="2"/>
  </r>
  <r>
    <s v="PRD-311"/>
    <x v="310"/>
    <x v="4"/>
    <d v="2023-10-29T00:00:00"/>
    <n v="519"/>
    <s v="Mature"/>
    <n v="16178"/>
    <n v="13566"/>
    <n v="92"/>
    <n v="138"/>
    <n v="2232564"/>
    <n v="354930"/>
    <n v="1877634"/>
    <n v="1872108"/>
    <n v="5526"/>
    <n v="2.9430655814711494E-3"/>
    <n v="5"/>
    <n v="72800"/>
    <n v="5.434782608695652E-2"/>
    <n v="38"/>
    <n v="3.36"/>
    <n v="99039"/>
    <n v="2849828"/>
    <n v="28.774805884550531"/>
    <x v="2"/>
  </r>
  <r>
    <s v="PRD-312"/>
    <x v="311"/>
    <x v="4"/>
    <d v="2024-05-01T00:00:00"/>
    <n v="334"/>
    <s v="Mature"/>
    <n v="16312"/>
    <n v="13453"/>
    <n v="87"/>
    <n v="132"/>
    <n v="2153184"/>
    <n v="286483"/>
    <n v="1866701"/>
    <n v="1775796"/>
    <n v="90905"/>
    <n v="4.8698211443610945E-2"/>
    <n v="2"/>
    <n v="29360"/>
    <n v="2.2988505747126436E-2"/>
    <n v="30"/>
    <n v="3.13"/>
    <n v="73046"/>
    <n v="2028388"/>
    <n v="27.768638939846124"/>
    <x v="2"/>
  </r>
  <r>
    <s v="PRD-313"/>
    <x v="312"/>
    <x v="4"/>
    <d v="2024-05-02T00:00:00"/>
    <n v="333"/>
    <s v="Mature"/>
    <n v="5810"/>
    <n v="3187"/>
    <n v="71"/>
    <n v="101"/>
    <n v="586810"/>
    <n v="117214"/>
    <n v="469596"/>
    <n v="321887"/>
    <n v="147709"/>
    <n v="0.314544842801046"/>
    <n v="7"/>
    <n v="36603"/>
    <n v="9.8591549295774641E-2"/>
    <n v="30"/>
    <n v="4.42"/>
    <n v="485642"/>
    <n v="2314837"/>
    <n v="4.766550257185334"/>
    <x v="2"/>
  </r>
  <r>
    <s v="PRD-314"/>
    <x v="313"/>
    <x v="4"/>
    <d v="2023-10-11T00:00:00"/>
    <n v="537"/>
    <s v="Mature"/>
    <n v="18095"/>
    <n v="9581"/>
    <n v="78"/>
    <n v="109"/>
    <n v="1972355"/>
    <n v="266846"/>
    <n v="1705509"/>
    <n v="1044329"/>
    <n v="661180"/>
    <n v="0.38767312280380811"/>
    <n v="5"/>
    <n v="81425"/>
    <n v="6.4102564102564097E-2"/>
    <n v="34"/>
    <n v="4.16"/>
    <n v="221153"/>
    <n v="4754960"/>
    <n v="21.500770959471499"/>
    <x v="2"/>
  </r>
  <r>
    <s v="PRD-315"/>
    <x v="314"/>
    <x v="4"/>
    <d v="2024-07-31T00:00:00"/>
    <n v="243"/>
    <s v="Mature"/>
    <n v="3654"/>
    <n v="2078"/>
    <n v="191"/>
    <n v="267"/>
    <n v="975618"/>
    <n v="113993"/>
    <n v="861625"/>
    <n v="554826"/>
    <n v="306799"/>
    <n v="0.35607021616132306"/>
    <n v="22"/>
    <n v="72336"/>
    <n v="0.11518324607329843"/>
    <n v="80"/>
    <n v="4.32"/>
    <n v="560392"/>
    <n v="2460816"/>
    <n v="4.3912404174220905"/>
    <x v="2"/>
  </r>
  <r>
    <s v="PRD-316"/>
    <x v="315"/>
    <x v="4"/>
    <d v="2023-01-29T00:00:00"/>
    <n v="792"/>
    <s v="Mature"/>
    <n v="14686"/>
    <n v="7498"/>
    <n v="38"/>
    <n v="58"/>
    <n v="851788"/>
    <n v="102502"/>
    <n v="749286"/>
    <n v="434884"/>
    <n v="314402"/>
    <n v="0.41960212789242024"/>
    <n v="1"/>
    <n v="13217"/>
    <n v="2.6315789473684209E-2"/>
    <n v="12"/>
    <n v="4.33"/>
    <n v="554671"/>
    <n v="9473870"/>
    <n v="17.080161032395779"/>
    <x v="0"/>
  </r>
  <r>
    <s v="PRD-317"/>
    <x v="316"/>
    <x v="4"/>
    <d v="2023-02-20T00:00:00"/>
    <n v="770"/>
    <s v="Mature"/>
    <n v="14329"/>
    <n v="11825"/>
    <n v="85"/>
    <n v="131"/>
    <n v="1877099"/>
    <n v="269652"/>
    <n v="1607447"/>
    <n v="1549075"/>
    <n v="58372"/>
    <n v="3.6313483430557895E-2"/>
    <n v="11"/>
    <n v="141856"/>
    <n v="0.12941176470588237"/>
    <n v="39"/>
    <n v="3.24"/>
    <n v="364979"/>
    <n v="6060084"/>
    <n v="16.603925157337819"/>
    <x v="2"/>
  </r>
  <r>
    <s v="PRD-318"/>
    <x v="317"/>
    <x v="4"/>
    <d v="2023-08-28T00:00:00"/>
    <n v="581"/>
    <s v="Mature"/>
    <n v="19856"/>
    <n v="13056"/>
    <n v="22"/>
    <n v="34"/>
    <n v="675104"/>
    <n v="106909"/>
    <n v="568195"/>
    <n v="443904"/>
    <n v="124291"/>
    <n v="0.21874708506762644"/>
    <n v="2"/>
    <n v="35740"/>
    <n v="9.0909090909090912E-2"/>
    <n v="11"/>
    <n v="3.73"/>
    <n v="381285"/>
    <n v="6167695"/>
    <n v="16.176075638957734"/>
    <x v="2"/>
  </r>
  <r>
    <s v="PRD-319"/>
    <x v="318"/>
    <x v="4"/>
    <d v="2024-12-13T00:00:00"/>
    <n v="108"/>
    <s v="Mature"/>
    <n v="4741"/>
    <n v="2212"/>
    <n v="156"/>
    <n v="249"/>
    <n v="1180509"/>
    <n v="191419"/>
    <n v="989090"/>
    <n v="550788"/>
    <n v="438302"/>
    <n v="0.44313662052998209"/>
    <n v="16"/>
    <n v="68256"/>
    <n v="0.10256410256410256"/>
    <n v="60"/>
    <n v="4.5199999999999996"/>
    <n v="72754"/>
    <n v="561328"/>
    <n v="7.7154245814663112"/>
    <x v="4"/>
  </r>
  <r>
    <s v="PRD-320"/>
    <x v="319"/>
    <x v="4"/>
    <d v="2023-08-26T00:00:00"/>
    <n v="583"/>
    <s v="Mature"/>
    <n v="8480"/>
    <n v="7073"/>
    <n v="107"/>
    <n v="152"/>
    <n v="1288960"/>
    <n v="215236"/>
    <n v="1073724"/>
    <n v="1075096"/>
    <n v="-1372"/>
    <n v="-1.2777957836464491E-3"/>
    <n v="11"/>
    <n v="83952"/>
    <n v="0.10280373831775701"/>
    <n v="42"/>
    <n v="3.4"/>
    <n v="472890"/>
    <n v="3965159"/>
    <n v="8.3849499883693888"/>
    <x v="2"/>
  </r>
  <r>
    <s v="PRD-321"/>
    <x v="320"/>
    <x v="4"/>
    <d v="2022-12-17T00:00:00"/>
    <n v="835"/>
    <s v="Mature"/>
    <n v="13872"/>
    <n v="10142"/>
    <n v="30"/>
    <n v="45"/>
    <n v="624240"/>
    <n v="107381"/>
    <n v="516859"/>
    <n v="456390"/>
    <n v="60469"/>
    <n v="0.11699322252297048"/>
    <n v="5"/>
    <n v="62420"/>
    <n v="0.16666666666666666"/>
    <n v="12"/>
    <n v="3.63"/>
    <n v="419168"/>
    <n v="7649942"/>
    <n v="18.250300595465301"/>
    <x v="2"/>
  </r>
  <r>
    <s v="PRD-322"/>
    <x v="321"/>
    <x v="4"/>
    <d v="2023-09-01T00:00:00"/>
    <n v="577"/>
    <s v="Mature"/>
    <n v="15198"/>
    <n v="7179"/>
    <n v="68"/>
    <n v="99"/>
    <n v="1504602"/>
    <n v="227048"/>
    <n v="1277554"/>
    <n v="710721"/>
    <n v="566833"/>
    <n v="0.44368613772881615"/>
    <n v="7"/>
    <n v="95746"/>
    <n v="0.10294117647058823"/>
    <n v="30"/>
    <n v="4.5999999999999996"/>
    <n v="104014"/>
    <n v="2184109"/>
    <n v="20.998221393273983"/>
    <x v="2"/>
  </r>
  <r>
    <s v="PRD-323"/>
    <x v="322"/>
    <x v="4"/>
    <d v="2024-12-23T00:00:00"/>
    <n v="98"/>
    <s v="Mature"/>
    <n v="12037"/>
    <n v="6228"/>
    <n v="106"/>
    <n v="161"/>
    <n v="1937957"/>
    <n v="276935"/>
    <n v="1661022"/>
    <n v="1002708"/>
    <n v="658314"/>
    <n v="0.39633069279034233"/>
    <n v="4"/>
    <n v="43332"/>
    <n v="3.7735849056603772E-2"/>
    <n v="43"/>
    <n v="4.4800000000000004"/>
    <n v="535404"/>
    <n v="7572534"/>
    <n v="14.143588766613622"/>
    <x v="0"/>
  </r>
  <r>
    <s v="PRD-324"/>
    <x v="323"/>
    <x v="4"/>
    <d v="2024-05-14T00:00:00"/>
    <n v="321"/>
    <s v="Mature"/>
    <n v="9591"/>
    <n v="7174"/>
    <n v="96"/>
    <n v="136"/>
    <n v="1304376"/>
    <n v="153813"/>
    <n v="1150563"/>
    <n v="975664"/>
    <n v="174899"/>
    <n v="0.15201166733155855"/>
    <n v="5"/>
    <n v="43155"/>
    <n v="5.2083333333333336E-2"/>
    <n v="44"/>
    <n v="3.38"/>
    <n v="115014"/>
    <n v="1658108"/>
    <n v="14.416575373432799"/>
    <x v="2"/>
  </r>
  <r>
    <s v="PRD-325"/>
    <x v="324"/>
    <x v="4"/>
    <d v="2024-01-14T00:00:00"/>
    <n v="442"/>
    <s v="Mature"/>
    <n v="3561"/>
    <n v="2201"/>
    <n v="177"/>
    <n v="261"/>
    <n v="929421"/>
    <n v="157278"/>
    <n v="772143"/>
    <n v="574461"/>
    <n v="197682"/>
    <n v="0.25601734393758668"/>
    <n v="20"/>
    <n v="64080"/>
    <n v="0.11299435028248588"/>
    <n v="68"/>
    <n v="3.97"/>
    <n v="640595"/>
    <n v="2310773"/>
    <n v="3.6072292165877036"/>
    <x v="2"/>
  </r>
  <r>
    <s v="PRD-326"/>
    <x v="325"/>
    <x v="4"/>
    <d v="2024-09-05T00:00:00"/>
    <n v="207"/>
    <s v="Mature"/>
    <n v="14317"/>
    <n v="11581"/>
    <n v="91"/>
    <n v="141"/>
    <n v="2018697"/>
    <n v="263682"/>
    <n v="1755015"/>
    <n v="1632921"/>
    <n v="122094"/>
    <n v="6.9568636165502865E-2"/>
    <n v="8"/>
    <n v="103080"/>
    <n v="8.7912087912087919E-2"/>
    <n v="36"/>
    <n v="3.08"/>
    <n v="491418"/>
    <n v="8634304"/>
    <n v="17.570182614393449"/>
    <x v="2"/>
  </r>
  <r>
    <s v="PRD-327"/>
    <x v="326"/>
    <x v="4"/>
    <d v="2024-08-11T00:00:00"/>
    <n v="232"/>
    <s v="Mature"/>
    <n v="8503"/>
    <n v="7337"/>
    <n v="96"/>
    <n v="149"/>
    <n v="1266947"/>
    <n v="154266"/>
    <n v="1112681"/>
    <n v="1093213"/>
    <n v="19468"/>
    <n v="1.7496479224503699E-2"/>
    <n v="3"/>
    <n v="22956"/>
    <n v="3.125E-2"/>
    <n v="48"/>
    <n v="2.9"/>
    <n v="686954"/>
    <n v="5617967"/>
    <n v="8.1780832486600268"/>
    <x v="2"/>
  </r>
  <r>
    <s v="PRD-328"/>
    <x v="327"/>
    <x v="4"/>
    <d v="2024-09-20T00:00:00"/>
    <n v="192"/>
    <s v="Mature"/>
    <n v="14364"/>
    <n v="8690"/>
    <n v="40"/>
    <n v="64"/>
    <n v="919296"/>
    <n v="171428"/>
    <n v="747868"/>
    <n v="556160"/>
    <n v="191708"/>
    <n v="0.25633935400364771"/>
    <n v="2"/>
    <n v="25854"/>
    <n v="0.05"/>
    <n v="14"/>
    <n v="4.21"/>
    <n v="286039"/>
    <n v="5615528"/>
    <n v="19.632036190869076"/>
    <x v="2"/>
  </r>
  <r>
    <s v="PRD-329"/>
    <x v="328"/>
    <x v="4"/>
    <d v="2023-02-01T00:00:00"/>
    <n v="789"/>
    <s v="Mature"/>
    <n v="563"/>
    <n v="330"/>
    <n v="361"/>
    <n v="545"/>
    <n v="306835"/>
    <n v="46166"/>
    <n v="260669"/>
    <n v="179850"/>
    <n v="80819"/>
    <n v="0.31004453924325487"/>
    <n v="37"/>
    <n v="18722"/>
    <n v="0.10249307479224377"/>
    <n v="119"/>
    <n v="4.25"/>
    <n v="497105"/>
    <n v="336844"/>
    <n v="0.67761136983132331"/>
    <x v="2"/>
  </r>
  <r>
    <s v="PRD-330"/>
    <x v="329"/>
    <x v="4"/>
    <d v="2023-10-12T00:00:00"/>
    <n v="536"/>
    <s v="Mature"/>
    <n v="3655"/>
    <n v="3119"/>
    <n v="74"/>
    <n v="106"/>
    <n v="387430"/>
    <n v="66032"/>
    <n v="321398"/>
    <n v="330614"/>
    <n v="-9216"/>
    <n v="-2.86747272851729E-2"/>
    <n v="8"/>
    <n v="26312"/>
    <n v="0.10810810810810811"/>
    <n v="34"/>
    <n v="3.28"/>
    <n v="498668"/>
    <n v="2437454"/>
    <n v="4.88792944403892"/>
    <x v="2"/>
  </r>
  <r>
    <s v="PRD-331"/>
    <x v="330"/>
    <x v="4"/>
    <d v="2022-10-09T00:00:00"/>
    <n v="904"/>
    <s v="Mature"/>
    <n v="2540"/>
    <n v="1679"/>
    <n v="71"/>
    <n v="99"/>
    <n v="251460"/>
    <n v="48586"/>
    <n v="202874"/>
    <n v="166221"/>
    <n v="36653"/>
    <n v="0.18066878949495746"/>
    <n v="3"/>
    <n v="6858"/>
    <n v="4.2253521126760563E-2"/>
    <n v="26"/>
    <n v="3.85"/>
    <n v="492135"/>
    <n v="1485604"/>
    <n v="3.0186920255620917"/>
    <x v="2"/>
  </r>
  <r>
    <s v="PRD-332"/>
    <x v="331"/>
    <x v="4"/>
    <d v="2023-12-28T00:00:00"/>
    <n v="459"/>
    <s v="Mature"/>
    <n v="13789"/>
    <n v="8587"/>
    <n v="41"/>
    <n v="60"/>
    <n v="827340"/>
    <n v="92376"/>
    <n v="734964"/>
    <n v="515220"/>
    <n v="219744"/>
    <n v="0.29898607278723854"/>
    <n v="2"/>
    <n v="24820"/>
    <n v="4.878048780487805E-2"/>
    <n v="22"/>
    <n v="3.93"/>
    <n v="144571"/>
    <n v="1586576"/>
    <n v="10.974372453673281"/>
    <x v="2"/>
  </r>
  <r>
    <s v="PRD-333"/>
    <x v="332"/>
    <x v="4"/>
    <d v="2023-08-19T00:00:00"/>
    <n v="590"/>
    <s v="Mature"/>
    <n v="11818"/>
    <n v="5513"/>
    <n v="90"/>
    <n v="137"/>
    <n v="1619066"/>
    <n v="304710"/>
    <n v="1314356"/>
    <n v="755281"/>
    <n v="559075"/>
    <n v="0.42536040463923014"/>
    <n v="4"/>
    <n v="42544"/>
    <n v="4.4444444444444446E-2"/>
    <n v="32"/>
    <n v="4.41"/>
    <n v="406517"/>
    <n v="5836082"/>
    <n v="14.356304902378007"/>
    <x v="0"/>
  </r>
  <r>
    <s v="PRD-334"/>
    <x v="333"/>
    <x v="4"/>
    <d v="2024-09-07T00:00:00"/>
    <n v="205"/>
    <s v="Mature"/>
    <n v="9635"/>
    <n v="5294"/>
    <n v="31"/>
    <n v="45"/>
    <n v="433575"/>
    <n v="58789"/>
    <n v="374786"/>
    <n v="238230"/>
    <n v="136556"/>
    <n v="0.36435725987630274"/>
    <n v="0"/>
    <n v="0"/>
    <n v="0"/>
    <n v="17"/>
    <n v="4.24"/>
    <n v="211211"/>
    <n v="2061527"/>
    <n v="9.7605096325475476"/>
    <x v="0"/>
  </r>
  <r>
    <s v="PRD-335"/>
    <x v="334"/>
    <x v="4"/>
    <d v="2023-07-30T00:00:00"/>
    <n v="610"/>
    <s v="Mature"/>
    <n v="6480"/>
    <n v="3651"/>
    <n v="110"/>
    <n v="155"/>
    <n v="1004400"/>
    <n v="101483"/>
    <n v="902917"/>
    <n v="565905"/>
    <n v="337012"/>
    <n v="0.37324803941004542"/>
    <n v="5"/>
    <n v="29160"/>
    <n v="4.5454545454545456E-2"/>
    <n v="42"/>
    <n v="4.1900000000000004"/>
    <n v="236165"/>
    <n v="2069035"/>
    <n v="8.7609722016386851"/>
    <x v="0"/>
  </r>
  <r>
    <s v="PRD-336"/>
    <x v="335"/>
    <x v="4"/>
    <d v="2024-05-31T00:00:00"/>
    <n v="304"/>
    <s v="Mature"/>
    <n v="8198"/>
    <n v="5535"/>
    <n v="129"/>
    <n v="200"/>
    <n v="1639600"/>
    <n v="253514"/>
    <n v="1386086"/>
    <n v="1107000"/>
    <n v="279086"/>
    <n v="0.20134825689026511"/>
    <n v="6"/>
    <n v="44268"/>
    <n v="4.6511627906976744E-2"/>
    <n v="47"/>
    <n v="3.84"/>
    <n v="333780"/>
    <n v="3331294"/>
    <n v="9.9805081191203779"/>
    <x v="2"/>
  </r>
  <r>
    <s v="PRD-337"/>
    <x v="336"/>
    <x v="4"/>
    <d v="2024-08-30T00:00:00"/>
    <n v="213"/>
    <s v="Mature"/>
    <n v="14089"/>
    <n v="10363"/>
    <n v="60"/>
    <n v="91"/>
    <n v="1282099"/>
    <n v="170444"/>
    <n v="1111655"/>
    <n v="943033"/>
    <n v="168622"/>
    <n v="0.15168554992331254"/>
    <n v="3"/>
    <n v="38040"/>
    <n v="0.05"/>
    <n v="26"/>
    <n v="3.56"/>
    <n v="356901"/>
    <n v="6246836"/>
    <n v="17.502993827419928"/>
    <x v="2"/>
  </r>
  <r>
    <s v="PRD-338"/>
    <x v="337"/>
    <x v="4"/>
    <d v="2022-11-10T00:00:00"/>
    <n v="872"/>
    <s v="Mature"/>
    <n v="750"/>
    <n v="586"/>
    <n v="284"/>
    <n v="424"/>
    <n v="318000"/>
    <n v="39040"/>
    <n v="278960"/>
    <n v="248464"/>
    <n v="30496"/>
    <n v="0.10932033266418124"/>
    <n v="24"/>
    <n v="16200"/>
    <n v="8.4507042253521125E-2"/>
    <n v="119"/>
    <n v="3.35"/>
    <n v="104142"/>
    <n v="119130"/>
    <n v="1.1439188799907818"/>
    <x v="2"/>
  </r>
  <r>
    <s v="PRD-339"/>
    <x v="338"/>
    <x v="4"/>
    <d v="2023-11-16T00:00:00"/>
    <n v="501"/>
    <s v="Mature"/>
    <n v="13911"/>
    <n v="9868"/>
    <n v="97"/>
    <n v="142"/>
    <n v="1975362"/>
    <n v="369837"/>
    <n v="1605525"/>
    <n v="1401256"/>
    <n v="204269"/>
    <n v="0.12722878809112284"/>
    <n v="7"/>
    <n v="87633"/>
    <n v="7.2164948453608241E-2"/>
    <n v="44"/>
    <n v="3.7"/>
    <n v="136960"/>
    <n v="2660802"/>
    <n v="19.427584696261682"/>
    <x v="2"/>
  </r>
  <r>
    <s v="PRD-340"/>
    <x v="339"/>
    <x v="4"/>
    <d v="2023-03-09T00:00:00"/>
    <n v="753"/>
    <s v="Mature"/>
    <n v="17053"/>
    <n v="8280"/>
    <n v="26"/>
    <n v="40"/>
    <n v="682120"/>
    <n v="110058"/>
    <n v="572062"/>
    <n v="331200"/>
    <n v="240862"/>
    <n v="0.42104177519219943"/>
    <n v="4"/>
    <n v="61388"/>
    <n v="0.15384615384615385"/>
    <n v="13"/>
    <n v="4.6900000000000004"/>
    <n v="85947"/>
    <n v="374031"/>
    <n v="4.3518796467590493"/>
    <x v="4"/>
  </r>
  <r>
    <s v="PRD-341"/>
    <x v="340"/>
    <x v="4"/>
    <d v="2024-10-17T00:00:00"/>
    <n v="165"/>
    <s v="Mature"/>
    <n v="10462"/>
    <n v="6126"/>
    <n v="101"/>
    <n v="158"/>
    <n v="1652996"/>
    <n v="253601"/>
    <n v="1399395"/>
    <n v="967908"/>
    <n v="431487"/>
    <n v="0.30833824617066663"/>
    <n v="13"/>
    <n v="122395"/>
    <n v="0.12871287128712872"/>
    <n v="48"/>
    <n v="4.13"/>
    <n v="414849"/>
    <n v="3642048"/>
    <n v="8.7792136415900721"/>
    <x v="2"/>
  </r>
  <r>
    <s v="PRD-342"/>
    <x v="341"/>
    <x v="4"/>
    <d v="2024-10-29T00:00:00"/>
    <n v="153"/>
    <s v="Mature"/>
    <n v="2102"/>
    <n v="1599"/>
    <n v="208"/>
    <n v="309"/>
    <n v="649518"/>
    <n v="94068"/>
    <n v="555450"/>
    <n v="494091"/>
    <n v="61359"/>
    <n v="0.11046718876586552"/>
    <n v="25"/>
    <n v="47275"/>
    <n v="0.1201923076923077"/>
    <n v="89"/>
    <n v="3.5"/>
    <n v="624974"/>
    <n v="1251413"/>
    <n v="2.0023440975144564"/>
    <x v="2"/>
  </r>
  <r>
    <s v="PRD-343"/>
    <x v="342"/>
    <x v="4"/>
    <d v="2024-12-10T00:00:00"/>
    <n v="111"/>
    <s v="Mature"/>
    <n v="11659"/>
    <n v="7749"/>
    <n v="41"/>
    <n v="66"/>
    <n v="769494"/>
    <n v="127792"/>
    <n v="641702"/>
    <n v="511434"/>
    <n v="130268"/>
    <n v="0.20300388653923473"/>
    <n v="3"/>
    <n v="31479"/>
    <n v="7.3170731707317069E-2"/>
    <n v="11"/>
    <n v="3.73"/>
    <n v="492087"/>
    <n v="9004258"/>
    <n v="18.298101758428896"/>
    <x v="2"/>
  </r>
  <r>
    <s v="PRD-344"/>
    <x v="343"/>
    <x v="4"/>
    <d v="2022-10-31T00:00:00"/>
    <n v="882"/>
    <s v="Mature"/>
    <n v="4167"/>
    <n v="2303"/>
    <n v="103"/>
    <n v="151"/>
    <n v="629217"/>
    <n v="122544"/>
    <n v="506673"/>
    <n v="347753"/>
    <n v="158920"/>
    <n v="0.31365397406216633"/>
    <n v="4"/>
    <n v="15000"/>
    <n v="3.8834951456310676E-2"/>
    <n v="42"/>
    <n v="4.1399999999999997"/>
    <n v="244239"/>
    <n v="1675755"/>
    <n v="6.8611278297077858"/>
    <x v="0"/>
  </r>
  <r>
    <s v="PRD-345"/>
    <x v="344"/>
    <x v="4"/>
    <d v="2024-03-07T00:00:00"/>
    <n v="389"/>
    <s v="Mature"/>
    <n v="2824"/>
    <n v="1911"/>
    <n v="211"/>
    <n v="306"/>
    <n v="864144"/>
    <n v="118156"/>
    <n v="745988"/>
    <n v="584766"/>
    <n v="161222"/>
    <n v="0.216118757942487"/>
    <n v="25"/>
    <n v="63525"/>
    <n v="0.11848341232227488"/>
    <n v="76"/>
    <n v="3.76"/>
    <n v="112460"/>
    <n v="518429"/>
    <n v="4.6098968522141206"/>
    <x v="2"/>
  </r>
  <r>
    <s v="PRD-346"/>
    <x v="345"/>
    <x v="4"/>
    <d v="2023-01-27T00:00:00"/>
    <n v="794"/>
    <s v="Mature"/>
    <n v="19104"/>
    <n v="11398"/>
    <n v="59"/>
    <n v="92"/>
    <n v="1757568"/>
    <n v="266120"/>
    <n v="1491448"/>
    <n v="1048616"/>
    <n v="442832"/>
    <n v="0.29691413981580317"/>
    <n v="2"/>
    <n v="34386"/>
    <n v="3.3898305084745763E-2"/>
    <n v="26"/>
    <n v="4.2300000000000004"/>
    <n v="342564"/>
    <n v="8883964"/>
    <n v="25.933735010100303"/>
    <x v="0"/>
  </r>
  <r>
    <s v="PRD-347"/>
    <x v="346"/>
    <x v="4"/>
    <d v="2023-04-02T00:00:00"/>
    <n v="729"/>
    <s v="Mature"/>
    <n v="12848"/>
    <n v="6242"/>
    <n v="67"/>
    <n v="104"/>
    <n v="1336192"/>
    <n v="175270"/>
    <n v="1160922"/>
    <n v="649168"/>
    <n v="511754"/>
    <n v="0.44081686797218073"/>
    <n v="7"/>
    <n v="80941"/>
    <n v="0.1044776119402985"/>
    <n v="30"/>
    <n v="4.5199999999999996"/>
    <n v="80280"/>
    <n v="760370"/>
    <n v="9.4714748380667668"/>
    <x v="4"/>
  </r>
  <r>
    <s v="PRD-348"/>
    <x v="347"/>
    <x v="4"/>
    <d v="2023-12-01T00:00:00"/>
    <n v="486"/>
    <s v="Mature"/>
    <n v="7655"/>
    <n v="5780"/>
    <n v="48"/>
    <n v="73"/>
    <n v="558815"/>
    <n v="120423"/>
    <n v="438392"/>
    <n v="421940"/>
    <n v="16452"/>
    <n v="3.7528057081333603E-2"/>
    <n v="9"/>
    <n v="62001"/>
    <n v="0.1875"/>
    <n v="20"/>
    <n v="3.45"/>
    <n v="114638"/>
    <n v="433887"/>
    <n v="3.7848444669306862"/>
    <x v="2"/>
  </r>
  <r>
    <s v="PRD-349"/>
    <x v="348"/>
    <x v="4"/>
    <d v="2024-03-12T00:00:00"/>
    <n v="384"/>
    <s v="Mature"/>
    <n v="2024"/>
    <n v="1658"/>
    <n v="187"/>
    <n v="279"/>
    <n v="564696"/>
    <n v="94220"/>
    <n v="470476"/>
    <n v="462582"/>
    <n v="7894"/>
    <n v="1.6778751732288152E-2"/>
    <n v="8"/>
    <n v="14568"/>
    <n v="4.2780748663101602E-2"/>
    <n v="79"/>
    <n v="3.11"/>
    <n v="436073"/>
    <n v="762662"/>
    <n v="1.7489319448807883"/>
    <x v="2"/>
  </r>
  <r>
    <s v="PRD-350"/>
    <x v="349"/>
    <x v="4"/>
    <d v="2024-01-11T00:00:00"/>
    <n v="445"/>
    <s v="Mature"/>
    <n v="11023"/>
    <n v="9492"/>
    <n v="94"/>
    <n v="141"/>
    <n v="1554243"/>
    <n v="165480"/>
    <n v="1388763"/>
    <n v="1338372"/>
    <n v="50391"/>
    <n v="3.6284808855074624E-2"/>
    <n v="11"/>
    <n v="109120"/>
    <n v="0.11702127659574468"/>
    <n v="39"/>
    <n v="2.94"/>
    <n v="507097"/>
    <n v="4970593"/>
    <n v="9.8020556224943149"/>
    <x v="2"/>
  </r>
  <r>
    <s v="PRD-351"/>
    <x v="350"/>
    <x v="4"/>
    <d v="2024-05-28T00:00:00"/>
    <n v="307"/>
    <s v="Mature"/>
    <n v="8247"/>
    <n v="5700"/>
    <n v="46"/>
    <n v="64"/>
    <n v="527808"/>
    <n v="82877"/>
    <n v="444931"/>
    <n v="364800"/>
    <n v="80131"/>
    <n v="0.18009758816535598"/>
    <n v="1"/>
    <n v="7422"/>
    <n v="2.1739130434782608E-2"/>
    <n v="19"/>
    <n v="3.5"/>
    <n v="35457"/>
    <n v="509790"/>
    <n v="14.377696928674169"/>
    <x v="2"/>
  </r>
  <r>
    <s v="PRD-352"/>
    <x v="351"/>
    <x v="4"/>
    <d v="2023-11-24T00:00:00"/>
    <n v="493"/>
    <s v="Mature"/>
    <n v="5232"/>
    <n v="4693"/>
    <n v="152"/>
    <n v="212"/>
    <n v="1109184"/>
    <n v="117783"/>
    <n v="991401"/>
    <n v="994916"/>
    <n v="-3515"/>
    <n v="-3.5454876482876253E-3"/>
    <n v="3"/>
    <n v="14124"/>
    <n v="1.9736842105263157E-2"/>
    <n v="66"/>
    <n v="2.81"/>
    <n v="222488"/>
    <n v="1273234"/>
    <n v="5.7227086404660028"/>
    <x v="2"/>
  </r>
  <r>
    <s v="PRD-353"/>
    <x v="352"/>
    <x v="4"/>
    <d v="2024-08-04T00:00:00"/>
    <n v="239"/>
    <s v="Mature"/>
    <n v="11276"/>
    <n v="10140"/>
    <n v="90"/>
    <n v="134"/>
    <n v="1510984"/>
    <n v="240915"/>
    <n v="1270069"/>
    <n v="1358760"/>
    <n v="-88691"/>
    <n v="-6.9831639068428569E-2"/>
    <n v="4"/>
    <n v="40592"/>
    <n v="4.4444444444444446E-2"/>
    <n v="34"/>
    <n v="2.84"/>
    <n v="586595"/>
    <n v="7520013"/>
    <n v="12.819770028725101"/>
    <x v="2"/>
  </r>
  <r>
    <s v="PRD-354"/>
    <x v="353"/>
    <x v="4"/>
    <d v="2022-12-01T00:00:00"/>
    <n v="851"/>
    <s v="Mature"/>
    <n v="14055"/>
    <n v="9537"/>
    <n v="54"/>
    <n v="86"/>
    <n v="1208730"/>
    <n v="130688"/>
    <n v="1078042"/>
    <n v="820182"/>
    <n v="257860"/>
    <n v="0.23919290714090916"/>
    <n v="10"/>
    <n v="126490"/>
    <n v="0.18518518518518517"/>
    <n v="26"/>
    <n v="3.98"/>
    <n v="456829"/>
    <n v="8443793"/>
    <n v="18.483487256719691"/>
    <x v="2"/>
  </r>
  <r>
    <s v="PRD-355"/>
    <x v="354"/>
    <x v="4"/>
    <d v="2023-10-17T00:00:00"/>
    <n v="531"/>
    <s v="Mature"/>
    <n v="13834"/>
    <n v="8087"/>
    <n v="34"/>
    <n v="45"/>
    <n v="622530"/>
    <n v="124312"/>
    <n v="498218"/>
    <n v="363915"/>
    <n v="134303"/>
    <n v="0.2695667358465571"/>
    <n v="1"/>
    <n v="12450"/>
    <n v="2.9411764705882353E-2"/>
    <n v="13"/>
    <n v="3.81"/>
    <n v="361837"/>
    <n v="4850471"/>
    <n v="13.405127170521533"/>
    <x v="2"/>
  </r>
  <r>
    <s v="PRD-356"/>
    <x v="355"/>
    <x v="4"/>
    <d v="2022-12-03T00:00:00"/>
    <n v="849"/>
    <s v="Mature"/>
    <n v="2751"/>
    <n v="1743"/>
    <n v="176"/>
    <n v="260"/>
    <n v="715260"/>
    <n v="106404"/>
    <n v="608856"/>
    <n v="453180"/>
    <n v="155676"/>
    <n v="0.25568607355433798"/>
    <n v="11"/>
    <n v="27225"/>
    <n v="6.25E-2"/>
    <n v="69"/>
    <n v="3.96"/>
    <n v="537948"/>
    <n v="2008285"/>
    <n v="3.7332325801006787"/>
    <x v="2"/>
  </r>
  <r>
    <s v="PRD-357"/>
    <x v="356"/>
    <x v="4"/>
    <d v="2023-07-06T00:00:00"/>
    <n v="634"/>
    <s v="Mature"/>
    <n v="10989"/>
    <n v="8317"/>
    <n v="103"/>
    <n v="146"/>
    <n v="1604394"/>
    <n v="248927"/>
    <n v="1355467"/>
    <n v="1214282"/>
    <n v="141185"/>
    <n v="0.10415967338194143"/>
    <n v="3"/>
    <n v="29670"/>
    <n v="2.9126213592233011E-2"/>
    <n v="42"/>
    <n v="3.7"/>
    <n v="177809"/>
    <n v="2908042"/>
    <n v="16.354863927022816"/>
    <x v="2"/>
  </r>
  <r>
    <s v="PRD-358"/>
    <x v="357"/>
    <x v="4"/>
    <d v="2023-08-18T00:00:00"/>
    <n v="591"/>
    <s v="Mature"/>
    <n v="5685"/>
    <n v="3966"/>
    <n v="103"/>
    <n v="153"/>
    <n v="869805"/>
    <n v="146044"/>
    <n v="723761"/>
    <n v="606798"/>
    <n v="116963"/>
    <n v="0.16160445229847975"/>
    <n v="11"/>
    <n v="56276"/>
    <n v="0.10679611650485436"/>
    <n v="41"/>
    <n v="3.79"/>
    <n v="677847"/>
    <n v="3511223"/>
    <n v="5.1799639151607959"/>
    <x v="2"/>
  </r>
  <r>
    <s v="PRD-359"/>
    <x v="358"/>
    <x v="4"/>
    <d v="2023-01-01T00:00:00"/>
    <n v="820"/>
    <s v="Mature"/>
    <n v="8982"/>
    <n v="4638"/>
    <n v="37"/>
    <n v="55"/>
    <n v="494010"/>
    <n v="52665"/>
    <n v="441345"/>
    <n v="255090"/>
    <n v="186255"/>
    <n v="0.422016789586378"/>
    <n v="3"/>
    <n v="24249"/>
    <n v="8.1081081081081086E-2"/>
    <n v="17"/>
    <n v="4.53"/>
    <n v="482118"/>
    <n v="5625659"/>
    <n v="11.668635064444803"/>
    <x v="2"/>
  </r>
  <r>
    <s v="PRD-360"/>
    <x v="359"/>
    <x v="4"/>
    <d v="2024-09-28T00:00:00"/>
    <n v="184"/>
    <s v="Mature"/>
    <n v="11040"/>
    <n v="9199"/>
    <n v="61"/>
    <n v="93"/>
    <n v="1026720"/>
    <n v="101737"/>
    <n v="924983"/>
    <n v="855507"/>
    <n v="69476"/>
    <n v="7.5110569599657506E-2"/>
    <n v="0"/>
    <n v="0"/>
    <n v="0"/>
    <n v="22"/>
    <n v="3.14"/>
    <n v="251410"/>
    <n v="3261759"/>
    <n v="12.973863410365539"/>
    <x v="2"/>
  </r>
  <r>
    <s v="PRD-361"/>
    <x v="360"/>
    <x v="4"/>
    <d v="2024-01-07T00:00:00"/>
    <n v="449"/>
    <s v="Mature"/>
    <n v="1317"/>
    <n v="621"/>
    <n v="93"/>
    <n v="144"/>
    <n v="189648"/>
    <n v="34425"/>
    <n v="155223"/>
    <n v="89424"/>
    <n v="65799"/>
    <n v="0.42389980866237609"/>
    <n v="4"/>
    <n v="4740"/>
    <n v="4.3010752688172046E-2"/>
    <n v="44"/>
    <n v="4.3899999999999997"/>
    <n v="288065"/>
    <n v="397073"/>
    <n v="1.3784145939284536"/>
    <x v="0"/>
  </r>
  <r>
    <s v="PRD-362"/>
    <x v="361"/>
    <x v="4"/>
    <d v="2024-12-08T00:00:00"/>
    <n v="113"/>
    <s v="Mature"/>
    <n v="4278"/>
    <n v="3827"/>
    <n v="97"/>
    <n v="138"/>
    <n v="590364"/>
    <n v="61335"/>
    <n v="529029"/>
    <n v="528126"/>
    <n v="903"/>
    <n v="1.706900755913192E-3"/>
    <n v="2"/>
    <n v="7700"/>
    <n v="2.0618556701030927E-2"/>
    <n v="34"/>
    <n v="2.91"/>
    <n v="354053"/>
    <n v="3216811"/>
    <n v="9.0856764382733655"/>
    <x v="2"/>
  </r>
  <r>
    <s v="PRD-363"/>
    <x v="362"/>
    <x v="4"/>
    <d v="2022-12-16T00:00:00"/>
    <n v="836"/>
    <s v="Mature"/>
    <n v="19380"/>
    <n v="12330"/>
    <n v="62"/>
    <n v="91"/>
    <n v="1763580"/>
    <n v="249267"/>
    <n v="1514313"/>
    <n v="1122030"/>
    <n v="392283"/>
    <n v="0.2590501435304326"/>
    <n v="6"/>
    <n v="104652"/>
    <n v="9.6774193548387094E-2"/>
    <n v="19"/>
    <n v="3.95"/>
    <n v="475797"/>
    <n v="13306547"/>
    <n v="27.966857714529517"/>
    <x v="2"/>
  </r>
  <r>
    <s v="PRD-364"/>
    <x v="363"/>
    <x v="4"/>
    <d v="2024-01-16T00:00:00"/>
    <n v="440"/>
    <s v="Mature"/>
    <n v="4313"/>
    <n v="3798"/>
    <n v="127"/>
    <n v="200"/>
    <n v="862600"/>
    <n v="141618"/>
    <n v="720982"/>
    <n v="759600"/>
    <n v="-38618"/>
    <n v="-5.3563057052741954E-2"/>
    <n v="15"/>
    <n v="58215"/>
    <n v="0.11811023622047244"/>
    <n v="50"/>
    <n v="3.08"/>
    <n v="372313"/>
    <n v="2123857"/>
    <n v="5.7044932623894411"/>
    <x v="2"/>
  </r>
  <r>
    <s v="PRD-365"/>
    <x v="364"/>
    <x v="4"/>
    <d v="2023-03-26T00:00:00"/>
    <n v="736"/>
    <s v="Mature"/>
    <n v="12840"/>
    <n v="7608"/>
    <n v="62"/>
    <n v="91"/>
    <n v="1168440"/>
    <n v="158819"/>
    <n v="1009621"/>
    <n v="692328"/>
    <n v="317293"/>
    <n v="0.31426941396821184"/>
    <n v="3"/>
    <n v="34668"/>
    <n v="4.8387096774193547E-2"/>
    <n v="21"/>
    <n v="4.1399999999999997"/>
    <n v="276472"/>
    <n v="5477300"/>
    <n v="19.81140947365375"/>
    <x v="0"/>
  </r>
  <r>
    <s v="PRD-366"/>
    <x v="365"/>
    <x v="4"/>
    <d v="2024-02-23T00:00:00"/>
    <n v="402"/>
    <s v="Mature"/>
    <n v="8352"/>
    <n v="5084"/>
    <n v="70"/>
    <n v="105"/>
    <n v="876960"/>
    <n v="74371"/>
    <n v="802589"/>
    <n v="533820"/>
    <n v="268769"/>
    <n v="0.33487750268194555"/>
    <n v="8"/>
    <n v="60128"/>
    <n v="0.11428571428571428"/>
    <n v="26"/>
    <n v="3.83"/>
    <n v="455978"/>
    <n v="2982419"/>
    <n v="6.5407081043383668"/>
    <x v="2"/>
  </r>
  <r>
    <s v="PRD-367"/>
    <x v="366"/>
    <x v="4"/>
    <d v="2024-12-30T00:00:00"/>
    <n v="91"/>
    <s v="Mature"/>
    <n v="17528"/>
    <n v="13810"/>
    <n v="43"/>
    <n v="66"/>
    <n v="1156848"/>
    <n v="192880"/>
    <n v="963968"/>
    <n v="911460"/>
    <n v="52508"/>
    <n v="5.4470687823662198E-2"/>
    <n v="5"/>
    <n v="78875"/>
    <n v="0.11627906976744186"/>
    <n v="15"/>
    <n v="3.13"/>
    <n v="96073"/>
    <n v="1975827"/>
    <n v="20.565892602500181"/>
    <x v="2"/>
  </r>
  <r>
    <s v="PRD-368"/>
    <x v="367"/>
    <x v="4"/>
    <d v="2024-05-02T00:00:00"/>
    <n v="333"/>
    <s v="Mature"/>
    <n v="16180"/>
    <n v="12057"/>
    <n v="52"/>
    <n v="74"/>
    <n v="1197320"/>
    <n v="228627"/>
    <n v="968693"/>
    <n v="892218"/>
    <n v="76475"/>
    <n v="7.894658059880684E-2"/>
    <n v="1"/>
    <n v="14562"/>
    <n v="1.9230769230769232E-2"/>
    <n v="21"/>
    <n v="3.71"/>
    <n v="181347"/>
    <n v="2209089"/>
    <n v="12.181558007576635"/>
    <x v="2"/>
  </r>
  <r>
    <s v="PRD-369"/>
    <x v="368"/>
    <x v="4"/>
    <d v="2024-01-27T00:00:00"/>
    <n v="429"/>
    <s v="Mature"/>
    <n v="9504"/>
    <n v="8303"/>
    <n v="113"/>
    <n v="172"/>
    <n v="1634688"/>
    <n v="164968"/>
    <n v="1469720"/>
    <n v="1428116"/>
    <n v="41604"/>
    <n v="2.8307432708270963E-2"/>
    <n v="10"/>
    <n v="85530"/>
    <n v="8.8495575221238937E-2"/>
    <n v="44"/>
    <n v="2.81"/>
    <n v="117716"/>
    <n v="2362076"/>
    <n v="20.065887389989467"/>
    <x v="2"/>
  </r>
  <r>
    <s v="PRD-370"/>
    <x v="369"/>
    <x v="4"/>
    <d v="2024-12-19T00:00:00"/>
    <n v="102"/>
    <s v="Mature"/>
    <n v="9032"/>
    <n v="5959"/>
    <n v="55"/>
    <n v="83"/>
    <n v="749656"/>
    <n v="114136"/>
    <n v="635520"/>
    <n v="494597"/>
    <n v="140923"/>
    <n v="0.22174439828801612"/>
    <n v="4"/>
    <n v="32512"/>
    <n v="7.2727272727272724E-2"/>
    <n v="26"/>
    <n v="3.96"/>
    <n v="449969"/>
    <n v="5359897"/>
    <n v="11.911702806193315"/>
    <x v="2"/>
  </r>
  <r>
    <s v="PRD-371"/>
    <x v="370"/>
    <x v="4"/>
    <d v="2023-03-27T00:00:00"/>
    <n v="735"/>
    <s v="Mature"/>
    <n v="11925"/>
    <n v="5713"/>
    <n v="96"/>
    <n v="146"/>
    <n v="1741050"/>
    <n v="330925"/>
    <n v="1410125"/>
    <n v="834098"/>
    <n v="576027"/>
    <n v="0.40849357326478147"/>
    <n v="2"/>
    <n v="21464"/>
    <n v="2.0833333333333332E-2"/>
    <n v="43"/>
    <n v="4.41"/>
    <n v="609334"/>
    <n v="6795903"/>
    <n v="11.153001473740181"/>
    <x v="0"/>
  </r>
  <r>
    <s v="PRD-372"/>
    <x v="371"/>
    <x v="4"/>
    <d v="2023-09-26T00:00:00"/>
    <n v="552"/>
    <s v="Mature"/>
    <n v="1223"/>
    <n v="713"/>
    <n v="107"/>
    <n v="163"/>
    <n v="199349"/>
    <n v="26050"/>
    <n v="173299"/>
    <n v="116219"/>
    <n v="57080"/>
    <n v="0.32937293348490182"/>
    <n v="8"/>
    <n v="8800"/>
    <n v="7.476635514018691E-2"/>
    <n v="44"/>
    <n v="4.22"/>
    <n v="472299"/>
    <n v="890046"/>
    <n v="1.8844968970927316"/>
    <x v="2"/>
  </r>
  <r>
    <s v="PRD-373"/>
    <x v="372"/>
    <x v="4"/>
    <d v="2024-02-15T00:00:00"/>
    <n v="410"/>
    <s v="Mature"/>
    <n v="18063"/>
    <n v="13744"/>
    <n v="67"/>
    <n v="106"/>
    <n v="1914678"/>
    <n v="183203"/>
    <n v="1731475"/>
    <n v="1456864"/>
    <n v="274611"/>
    <n v="0.15859945999797861"/>
    <n v="7"/>
    <n v="113792"/>
    <n v="0.1044776119402985"/>
    <n v="36"/>
    <n v="3.43"/>
    <n v="71815"/>
    <n v="2984037"/>
    <n v="41.551723177609134"/>
    <x v="2"/>
  </r>
  <r>
    <s v="PRD-374"/>
    <x v="373"/>
    <x v="4"/>
    <d v="2023-04-25T00:00:00"/>
    <n v="706"/>
    <s v="Mature"/>
    <n v="11169"/>
    <n v="5438"/>
    <n v="32"/>
    <n v="45"/>
    <n v="502605"/>
    <n v="85688"/>
    <n v="416917"/>
    <n v="244710"/>
    <n v="172207"/>
    <n v="0.41304864037686156"/>
    <n v="2"/>
    <n v="20104"/>
    <n v="6.25E-2"/>
    <n v="13"/>
    <n v="4.42"/>
    <n v="637279"/>
    <n v="8848909"/>
    <n v="13.885455193094391"/>
    <x v="2"/>
  </r>
  <r>
    <s v="PRD-375"/>
    <x v="374"/>
    <x v="4"/>
    <d v="2023-02-23T00:00:00"/>
    <n v="767"/>
    <s v="Mature"/>
    <n v="19521"/>
    <n v="11378"/>
    <n v="50"/>
    <n v="73"/>
    <n v="1425033"/>
    <n v="286819"/>
    <n v="1138214"/>
    <n v="830594"/>
    <n v="307620"/>
    <n v="0.27026552124644398"/>
    <n v="4"/>
    <n v="70272"/>
    <n v="0.08"/>
    <n v="20"/>
    <n v="3.93"/>
    <n v="381711"/>
    <n v="7116308"/>
    <n v="18.643182931589607"/>
    <x v="2"/>
  </r>
  <r>
    <s v="PRD-376"/>
    <x v="375"/>
    <x v="4"/>
    <d v="2023-08-06T00:00:00"/>
    <n v="603"/>
    <s v="Mature"/>
    <n v="19501"/>
    <n v="16664"/>
    <n v="35"/>
    <n v="57"/>
    <n v="1111557"/>
    <n v="117828"/>
    <n v="993729"/>
    <n v="949848"/>
    <n v="43881"/>
    <n v="4.4157914280452716E-2"/>
    <n v="2"/>
    <n v="35100"/>
    <n v="5.7142857142857141E-2"/>
    <n v="12"/>
    <n v="3"/>
    <n v="268387"/>
    <n v="7379081"/>
    <n v="27.494181908959824"/>
    <x v="2"/>
  </r>
  <r>
    <s v="PRD-377"/>
    <x v="376"/>
    <x v="4"/>
    <d v="2024-04-28T00:00:00"/>
    <n v="337"/>
    <s v="Mature"/>
    <n v="10695"/>
    <n v="8787"/>
    <n v="68"/>
    <n v="109"/>
    <n v="1165755"/>
    <n v="150042"/>
    <n v="1015713"/>
    <n v="957783"/>
    <n v="57930"/>
    <n v="5.703382746897992E-2"/>
    <n v="5"/>
    <n v="48125"/>
    <n v="7.3529411764705885E-2"/>
    <n v="27"/>
    <n v="3.15"/>
    <n v="593481"/>
    <n v="5644688"/>
    <n v="9.5111519998112826"/>
    <x v="2"/>
  </r>
  <r>
    <s v="PRD-378"/>
    <x v="377"/>
    <x v="4"/>
    <d v="2024-09-05T00:00:00"/>
    <n v="207"/>
    <s v="Mature"/>
    <n v="12697"/>
    <n v="9674"/>
    <n v="40"/>
    <n v="56"/>
    <n v="711032"/>
    <n v="145470"/>
    <n v="565562"/>
    <n v="541744"/>
    <n v="23818"/>
    <n v="4.2113861963851883E-2"/>
    <n v="1"/>
    <n v="11427"/>
    <n v="2.5000000000000001E-2"/>
    <n v="16"/>
    <n v="3.47"/>
    <n v="419429"/>
    <n v="3304431"/>
    <n v="7.8784037346010889"/>
    <x v="2"/>
  </r>
  <r>
    <s v="PRD-379"/>
    <x v="378"/>
    <x v="4"/>
    <d v="2024-06-18T00:00:00"/>
    <n v="286"/>
    <s v="Mature"/>
    <n v="10726"/>
    <n v="5207"/>
    <n v="88"/>
    <n v="132"/>
    <n v="1415832"/>
    <n v="135942"/>
    <n v="1279890"/>
    <n v="687324"/>
    <n v="592566"/>
    <n v="0.46298197501347771"/>
    <n v="1"/>
    <n v="9653"/>
    <n v="1.1363636363636364E-2"/>
    <n v="35"/>
    <n v="4.1900000000000004"/>
    <n v="53685"/>
    <n v="1564034"/>
    <n v="29.133538232280898"/>
    <x v="0"/>
  </r>
  <r>
    <s v="PRD-380"/>
    <x v="379"/>
    <x v="4"/>
    <d v="2023-08-24T00:00:00"/>
    <n v="585"/>
    <s v="Mature"/>
    <n v="8097"/>
    <n v="6023"/>
    <n v="67"/>
    <n v="98"/>
    <n v="793506"/>
    <n v="156620"/>
    <n v="636886"/>
    <n v="590254"/>
    <n v="46632"/>
    <n v="7.3218755004820335E-2"/>
    <n v="2"/>
    <n v="14574"/>
    <n v="2.9850746268656716E-2"/>
    <n v="23"/>
    <n v="3.61"/>
    <n v="399394"/>
    <n v="3292188"/>
    <n v="8.2429580814934624"/>
    <x v="2"/>
  </r>
  <r>
    <s v="PRD-381"/>
    <x v="380"/>
    <x v="4"/>
    <d v="2023-05-03T00:00:00"/>
    <n v="698"/>
    <s v="Mature"/>
    <n v="14934"/>
    <n v="13364"/>
    <n v="82"/>
    <n v="132"/>
    <n v="1971288"/>
    <n v="207993"/>
    <n v="1763295"/>
    <n v="1764048"/>
    <n v="-753"/>
    <n v="-4.2704141961498216E-4"/>
    <n v="3"/>
    <n v="40320"/>
    <n v="3.6585365853658534E-2"/>
    <n v="30"/>
    <n v="3.15"/>
    <n v="203289"/>
    <n v="4930694"/>
    <n v="24.254603052796757"/>
    <x v="2"/>
  </r>
  <r>
    <s v="PRD-382"/>
    <x v="381"/>
    <x v="4"/>
    <d v="2023-12-04T00:00:00"/>
    <n v="483"/>
    <s v="Mature"/>
    <n v="12945"/>
    <n v="9097"/>
    <n v="104"/>
    <n v="153"/>
    <n v="1980585"/>
    <n v="199642"/>
    <n v="1780943"/>
    <n v="1391841"/>
    <n v="389102"/>
    <n v="0.21848088344208658"/>
    <n v="4"/>
    <n v="46600"/>
    <n v="3.8461538461538464E-2"/>
    <n v="37"/>
    <n v="3.89"/>
    <n v="369015"/>
    <n v="4639662"/>
    <n v="12.573098654526239"/>
    <x v="2"/>
  </r>
  <r>
    <s v="PRD-383"/>
    <x v="382"/>
    <x v="4"/>
    <d v="2024-12-16T00:00:00"/>
    <n v="105"/>
    <s v="Mature"/>
    <n v="3622"/>
    <n v="1908"/>
    <n v="78"/>
    <n v="116"/>
    <n v="420152"/>
    <n v="51828"/>
    <n v="368324"/>
    <n v="221328"/>
    <n v="146996"/>
    <n v="0.39909427569205375"/>
    <n v="3"/>
    <n v="9777"/>
    <n v="3.8461538461538464E-2"/>
    <n v="34"/>
    <n v="4.3499999999999996"/>
    <n v="323918"/>
    <n v="1590611"/>
    <n v="4.9105359998518141"/>
    <x v="0"/>
  </r>
  <r>
    <s v="PRD-384"/>
    <x v="383"/>
    <x v="4"/>
    <d v="2023-06-25T00:00:00"/>
    <n v="645"/>
    <s v="Mature"/>
    <n v="9962"/>
    <n v="8875"/>
    <n v="58"/>
    <n v="89"/>
    <n v="886618"/>
    <n v="100776"/>
    <n v="785842"/>
    <n v="789875"/>
    <n v="-4033"/>
    <n v="-5.1320748954624467E-3"/>
    <n v="5"/>
    <n v="44825"/>
    <n v="8.6206896551724144E-2"/>
    <n v="24"/>
    <n v="2.88"/>
    <n v="259252"/>
    <n v="2360627"/>
    <n v="9.1055305262833066"/>
    <x v="2"/>
  </r>
  <r>
    <s v="PRD-385"/>
    <x v="384"/>
    <x v="4"/>
    <d v="2023-01-04T00:00:00"/>
    <n v="817"/>
    <s v="Mature"/>
    <n v="18224"/>
    <n v="8677"/>
    <n v="63"/>
    <n v="95"/>
    <n v="1731280"/>
    <n v="282394"/>
    <n v="1448886"/>
    <n v="824315"/>
    <n v="624571"/>
    <n v="0.43106980121279381"/>
    <n v="14"/>
    <n v="229614"/>
    <n v="0.22222222222222221"/>
    <n v="26"/>
    <n v="4.5999999999999996"/>
    <n v="486175"/>
    <n v="8231594"/>
    <n v="16.93133953823212"/>
    <x v="2"/>
  </r>
  <r>
    <s v="PRD-386"/>
    <x v="385"/>
    <x v="4"/>
    <d v="2023-01-12T00:00:00"/>
    <n v="809"/>
    <s v="Mature"/>
    <n v="14526"/>
    <n v="12046"/>
    <n v="57"/>
    <n v="93"/>
    <n v="1350918"/>
    <n v="218803"/>
    <n v="1132115"/>
    <n v="1120278"/>
    <n v="11837"/>
    <n v="1.0455651590165311E-2"/>
    <n v="2"/>
    <n v="26146"/>
    <n v="3.5087719298245612E-2"/>
    <n v="25"/>
    <n v="3.24"/>
    <n v="568144"/>
    <n v="12913486"/>
    <n v="22.729248218761441"/>
    <x v="2"/>
  </r>
  <r>
    <s v="PRD-387"/>
    <x v="386"/>
    <x v="4"/>
    <d v="2023-08-01T00:00:00"/>
    <n v="608"/>
    <s v="Mature"/>
    <n v="8991"/>
    <n v="5419"/>
    <n v="82"/>
    <n v="126"/>
    <n v="1132866"/>
    <n v="182045"/>
    <n v="950821"/>
    <n v="682794"/>
    <n v="268027"/>
    <n v="0.28189007184317555"/>
    <n v="3"/>
    <n v="24273"/>
    <n v="3.6585365853658534E-2"/>
    <n v="31"/>
    <n v="4.0999999999999996"/>
    <n v="330986"/>
    <n v="4311347"/>
    <n v="13.025768461505924"/>
    <x v="0"/>
  </r>
  <r>
    <s v="PRD-388"/>
    <x v="387"/>
    <x v="4"/>
    <d v="2023-07-29T00:00:00"/>
    <n v="611"/>
    <s v="Mature"/>
    <n v="424"/>
    <n v="300"/>
    <n v="350"/>
    <n v="514"/>
    <n v="217936"/>
    <n v="21742"/>
    <n v="196194"/>
    <n v="154200"/>
    <n v="41994"/>
    <n v="0.2140432429126273"/>
    <n v="33"/>
    <n v="12573"/>
    <n v="9.4285714285714292E-2"/>
    <n v="141"/>
    <n v="3.63"/>
    <n v="338878"/>
    <n v="214655"/>
    <n v="0.63342854950749239"/>
    <x v="2"/>
  </r>
  <r>
    <s v="PRD-389"/>
    <x v="388"/>
    <x v="4"/>
    <d v="2024-01-28T00:00:00"/>
    <n v="428"/>
    <s v="Mature"/>
    <n v="9861"/>
    <n v="4539"/>
    <n v="71"/>
    <n v="110"/>
    <n v="1084710"/>
    <n v="191137"/>
    <n v="893573"/>
    <n v="499290"/>
    <n v="394283"/>
    <n v="0.44124318886089886"/>
    <n v="6"/>
    <n v="53244"/>
    <n v="8.4507042253521125E-2"/>
    <n v="34"/>
    <n v="4.5599999999999996"/>
    <n v="310605"/>
    <n v="4131841"/>
    <n v="13.302557911173356"/>
    <x v="2"/>
  </r>
  <r>
    <s v="PRD-390"/>
    <x v="389"/>
    <x v="4"/>
    <d v="2023-11-01T00:00:00"/>
    <n v="516"/>
    <s v="Mature"/>
    <n v="3285"/>
    <n v="2007"/>
    <n v="91"/>
    <n v="144"/>
    <n v="473040"/>
    <n v="63277"/>
    <n v="409763"/>
    <n v="289008"/>
    <n v="120755"/>
    <n v="0.29469473817792236"/>
    <n v="12"/>
    <n v="35472"/>
    <n v="0.13186813186813187"/>
    <n v="36"/>
    <n v="4.07"/>
    <n v="417073"/>
    <n v="1441284"/>
    <n v="3.4557115900573758"/>
    <x v="2"/>
  </r>
  <r>
    <s v="PRD-391"/>
    <x v="390"/>
    <x v="5"/>
    <d v="2023-07-03T00:00:00"/>
    <n v="637"/>
    <s v="Mature"/>
    <n v="15538"/>
    <n v="12142"/>
    <n v="66"/>
    <n v="91"/>
    <n v="1413958"/>
    <n v="231461"/>
    <n v="1182497"/>
    <n v="1104922"/>
    <n v="77575"/>
    <n v="6.5602703431805742E-2"/>
    <n v="6"/>
    <n v="83904"/>
    <n v="9.0909090909090912E-2"/>
    <n v="29"/>
    <n v="3.52"/>
    <n v="247942"/>
    <n v="5593281"/>
    <n v="22.558828274354486"/>
    <x v="2"/>
  </r>
  <r>
    <s v="PRD-392"/>
    <x v="391"/>
    <x v="5"/>
    <d v="2024-11-13T00:00:00"/>
    <n v="138"/>
    <s v="Mature"/>
    <n v="18041"/>
    <n v="12875"/>
    <n v="83"/>
    <n v="129"/>
    <n v="2327289"/>
    <n v="377008"/>
    <n v="1950281"/>
    <n v="1660875"/>
    <n v="289406"/>
    <n v="0.14839194967289329"/>
    <n v="7"/>
    <n v="113652"/>
    <n v="8.4337349397590355E-2"/>
    <n v="35"/>
    <n v="3.86"/>
    <n v="633298"/>
    <n v="13086630"/>
    <n v="20.664252847790454"/>
    <x v="2"/>
  </r>
  <r>
    <s v="PRD-393"/>
    <x v="392"/>
    <x v="5"/>
    <d v="2023-05-30T00:00:00"/>
    <n v="671"/>
    <s v="Mature"/>
    <n v="15858"/>
    <n v="10185"/>
    <n v="40"/>
    <n v="61"/>
    <n v="967338"/>
    <n v="131153"/>
    <n v="836185"/>
    <n v="621285"/>
    <n v="214900"/>
    <n v="0.25700054413795992"/>
    <n v="3"/>
    <n v="42816"/>
    <n v="7.4999999999999997E-2"/>
    <n v="17"/>
    <n v="3.97"/>
    <n v="490943"/>
    <n v="10465665"/>
    <n v="21.317474737393141"/>
    <x v="2"/>
  </r>
  <r>
    <s v="PRD-394"/>
    <x v="393"/>
    <x v="5"/>
    <d v="2024-08-24T00:00:00"/>
    <n v="219"/>
    <s v="Mature"/>
    <n v="17234"/>
    <n v="9302"/>
    <n v="56"/>
    <n v="79"/>
    <n v="1361486"/>
    <n v="210348"/>
    <n v="1151138"/>
    <n v="734858"/>
    <n v="416280"/>
    <n v="0.36162475741396777"/>
    <n v="2"/>
    <n v="31020"/>
    <n v="3.5714285714285712E-2"/>
    <n v="24"/>
    <n v="4.17"/>
    <n v="195598"/>
    <n v="4405730"/>
    <n v="22.524412315054345"/>
    <x v="0"/>
  </r>
  <r>
    <s v="PRD-395"/>
    <x v="394"/>
    <x v="5"/>
    <d v="2023-02-07T00:00:00"/>
    <n v="783"/>
    <s v="Mature"/>
    <n v="7242"/>
    <n v="3883"/>
    <n v="119"/>
    <n v="187"/>
    <n v="1354254"/>
    <n v="226673"/>
    <n v="1127581"/>
    <n v="726121"/>
    <n v="401460"/>
    <n v="0.35603650646827145"/>
    <n v="5"/>
    <n v="32585"/>
    <n v="4.2016806722689079E-2"/>
    <n v="56"/>
    <n v="4.25"/>
    <n v="165499"/>
    <n v="378167"/>
    <n v="2.2850107855636588"/>
    <x v="0"/>
  </r>
  <r>
    <s v="PRD-396"/>
    <x v="395"/>
    <x v="5"/>
    <d v="2024-10-14T00:00:00"/>
    <n v="168"/>
    <s v="Mature"/>
    <n v="19797"/>
    <n v="15519"/>
    <n v="66"/>
    <n v="100"/>
    <n v="1979700"/>
    <n v="367009"/>
    <n v="1612691"/>
    <n v="1551900"/>
    <n v="60791"/>
    <n v="3.7695379958094889E-2"/>
    <n v="1"/>
    <n v="17817"/>
    <n v="1.5151515151515152E-2"/>
    <n v="27"/>
    <n v="3.28"/>
    <n v="435789"/>
    <n v="12117421"/>
    <n v="27.805706431323415"/>
    <x v="2"/>
  </r>
  <r>
    <s v="PRD-397"/>
    <x v="396"/>
    <x v="5"/>
    <d v="2022-10-13T00:00:00"/>
    <n v="900"/>
    <s v="Mature"/>
    <n v="17328"/>
    <n v="12022"/>
    <n v="69"/>
    <n v="100"/>
    <n v="1732800"/>
    <n v="200553"/>
    <n v="1532247"/>
    <n v="1202200"/>
    <n v="330047"/>
    <n v="0.21540065015627377"/>
    <n v="1"/>
    <n v="15595"/>
    <n v="1.4492753623188406E-2"/>
    <n v="30"/>
    <n v="3.47"/>
    <n v="519050"/>
    <n v="9660103"/>
    <n v="18.611122242558519"/>
    <x v="2"/>
  </r>
  <r>
    <s v="PRD-398"/>
    <x v="397"/>
    <x v="5"/>
    <d v="2024-05-19T00:00:00"/>
    <n v="316"/>
    <s v="Mature"/>
    <n v="5155"/>
    <n v="3325"/>
    <n v="83"/>
    <n v="128"/>
    <n v="659840"/>
    <n v="114669"/>
    <n v="545171"/>
    <n v="425600"/>
    <n v="119571"/>
    <n v="0.21932751375256571"/>
    <n v="9"/>
    <n v="41751"/>
    <n v="0.10843373493975904"/>
    <n v="36"/>
    <n v="3.67"/>
    <n v="112754"/>
    <n v="1034737"/>
    <n v="9.1769427248700719"/>
    <x v="2"/>
  </r>
  <r>
    <s v="PRD-399"/>
    <x v="398"/>
    <x v="5"/>
    <d v="2023-11-25T00:00:00"/>
    <n v="492"/>
    <s v="Mature"/>
    <n v="17850"/>
    <n v="8995"/>
    <n v="32"/>
    <n v="47"/>
    <n v="838950"/>
    <n v="145188"/>
    <n v="693762"/>
    <n v="422765"/>
    <n v="270997"/>
    <n v="0.390619549643826"/>
    <n v="6"/>
    <n v="96390"/>
    <n v="0.1875"/>
    <n v="9"/>
    <n v="4.6100000000000003"/>
    <n v="442675"/>
    <n v="10352322"/>
    <n v="23.385829333032135"/>
    <x v="2"/>
  </r>
  <r>
    <s v="PRD-400"/>
    <x v="399"/>
    <x v="5"/>
    <d v="2024-06-15T00:00:00"/>
    <n v="289"/>
    <s v="Mature"/>
    <n v="13503"/>
    <n v="11278"/>
    <n v="50"/>
    <n v="78"/>
    <n v="1053234"/>
    <n v="118610"/>
    <n v="934624"/>
    <n v="879684"/>
    <n v="54940"/>
    <n v="5.8782997226692231E-2"/>
    <n v="0"/>
    <n v="0"/>
    <n v="0"/>
    <n v="20"/>
    <n v="2.95"/>
    <n v="517795"/>
    <n v="10235111"/>
    <n v="19.766724282776003"/>
    <x v="2"/>
  </r>
  <r>
    <s v="PRD-401"/>
    <x v="400"/>
    <x v="5"/>
    <d v="2023-10-17T00:00:00"/>
    <n v="531"/>
    <s v="Mature"/>
    <n v="15870"/>
    <n v="7706"/>
    <n v="74"/>
    <n v="107"/>
    <n v="1698090"/>
    <n v="328780"/>
    <n v="1369310"/>
    <n v="824542"/>
    <n v="544768"/>
    <n v="0.39784124851202429"/>
    <n v="3"/>
    <n v="42849"/>
    <n v="4.0540540540540543E-2"/>
    <n v="29"/>
    <n v="4.62"/>
    <n v="249621"/>
    <n v="4493791"/>
    <n v="18.002455722875879"/>
    <x v="0"/>
  </r>
  <r>
    <s v="PRD-402"/>
    <x v="401"/>
    <x v="5"/>
    <d v="2023-05-22T00:00:00"/>
    <n v="679"/>
    <s v="Mature"/>
    <n v="3517"/>
    <n v="1626"/>
    <n v="135"/>
    <n v="197"/>
    <n v="692849"/>
    <n v="122342"/>
    <n v="570507"/>
    <n v="320322"/>
    <n v="250185"/>
    <n v="0.43853099085550223"/>
    <n v="3"/>
    <n v="9495"/>
    <n v="2.2222222222222223E-2"/>
    <n v="55"/>
    <n v="4.49"/>
    <n v="407082"/>
    <n v="792681"/>
    <n v="1.9472268486447448"/>
    <x v="0"/>
  </r>
  <r>
    <s v="PRD-403"/>
    <x v="402"/>
    <x v="5"/>
    <d v="2023-05-05T00:00:00"/>
    <n v="696"/>
    <s v="Mature"/>
    <n v="3224"/>
    <n v="2628"/>
    <n v="137"/>
    <n v="195"/>
    <n v="628680"/>
    <n v="66207"/>
    <n v="562473"/>
    <n v="512460"/>
    <n v="50013"/>
    <n v="8.8916267980863078E-2"/>
    <n v="9"/>
    <n v="26109"/>
    <n v="6.569343065693431E-2"/>
    <n v="59"/>
    <n v="3.25"/>
    <n v="442115"/>
    <n v="1676218"/>
    <n v="3.7913619759564821"/>
    <x v="2"/>
  </r>
  <r>
    <s v="PRD-404"/>
    <x v="403"/>
    <x v="5"/>
    <d v="2022-12-07T00:00:00"/>
    <n v="845"/>
    <s v="Mature"/>
    <n v="17183"/>
    <n v="9344"/>
    <n v="40"/>
    <n v="58"/>
    <n v="996614"/>
    <n v="172065"/>
    <n v="824549"/>
    <n v="541952"/>
    <n v="282597"/>
    <n v="0.34272917679846804"/>
    <n v="3"/>
    <n v="46392"/>
    <n v="7.4999999999999997E-2"/>
    <n v="18"/>
    <n v="4.28"/>
    <n v="591019"/>
    <n v="14724428"/>
    <n v="24.913628834267595"/>
    <x v="2"/>
  </r>
  <r>
    <s v="PRD-405"/>
    <x v="404"/>
    <x v="5"/>
    <d v="2023-04-24T00:00:00"/>
    <n v="707"/>
    <s v="Mature"/>
    <n v="5992"/>
    <n v="4873"/>
    <n v="135"/>
    <n v="201"/>
    <n v="1204392"/>
    <n v="141210"/>
    <n v="1063182"/>
    <n v="979473"/>
    <n v="83709"/>
    <n v="7.8734402952645929E-2"/>
    <n v="16"/>
    <n v="86272"/>
    <n v="0.11851851851851852"/>
    <n v="51"/>
    <n v="3.09"/>
    <n v="485509"/>
    <n v="4109189"/>
    <n v="8.4636721461394124"/>
    <x v="2"/>
  </r>
  <r>
    <s v="PRD-406"/>
    <x v="405"/>
    <x v="5"/>
    <d v="2024-03-01T00:00:00"/>
    <n v="395"/>
    <s v="Mature"/>
    <n v="12369"/>
    <n v="6548"/>
    <n v="56"/>
    <n v="84"/>
    <n v="1038996"/>
    <n v="180698"/>
    <n v="858298"/>
    <n v="550032"/>
    <n v="308266"/>
    <n v="0.35915963919291433"/>
    <n v="3"/>
    <n v="33396"/>
    <n v="5.3571428571428568E-2"/>
    <n v="17"/>
    <n v="4.32"/>
    <n v="577028"/>
    <n v="7014706"/>
    <n v="12.156612850676224"/>
    <x v="2"/>
  </r>
  <r>
    <s v="PRD-407"/>
    <x v="406"/>
    <x v="5"/>
    <d v="2024-01-29T00:00:00"/>
    <n v="427"/>
    <s v="Mature"/>
    <n v="14916"/>
    <n v="12232"/>
    <n v="90"/>
    <n v="135"/>
    <n v="2013660"/>
    <n v="344587"/>
    <n v="1669073"/>
    <n v="1651320"/>
    <n v="17753"/>
    <n v="1.0636443103447243E-2"/>
    <n v="1"/>
    <n v="13424"/>
    <n v="1.1111111111111112E-2"/>
    <n v="36"/>
    <n v="3.35"/>
    <n v="335265"/>
    <n v="7084361"/>
    <n v="21.130630993393286"/>
    <x v="2"/>
  </r>
  <r>
    <s v="PRD-408"/>
    <x v="407"/>
    <x v="5"/>
    <d v="2022-11-20T00:00:00"/>
    <n v="862"/>
    <s v="Mature"/>
    <n v="9640"/>
    <n v="8556"/>
    <n v="99"/>
    <n v="141"/>
    <n v="1359240"/>
    <n v="226406"/>
    <n v="1132834"/>
    <n v="1206396"/>
    <n v="-73562"/>
    <n v="-6.4936257209794193E-2"/>
    <n v="5"/>
    <n v="43380"/>
    <n v="5.0505050505050504E-2"/>
    <n v="29"/>
    <n v="2.97"/>
    <n v="406224"/>
    <n v="3325351"/>
    <n v="8.1860032888258694"/>
    <x v="2"/>
  </r>
  <r>
    <s v="PRD-409"/>
    <x v="408"/>
    <x v="5"/>
    <d v="2024-03-09T00:00:00"/>
    <n v="387"/>
    <s v="Mature"/>
    <n v="9116"/>
    <n v="5531"/>
    <n v="89"/>
    <n v="136"/>
    <n v="1239776"/>
    <n v="226044"/>
    <n v="1013732"/>
    <n v="752216"/>
    <n v="261516"/>
    <n v="0.2579735077910138"/>
    <n v="9"/>
    <n v="73836"/>
    <n v="0.10112359550561797"/>
    <n v="38"/>
    <n v="3.86"/>
    <n v="27570"/>
    <n v="2352974"/>
    <n v="85.345447950671016"/>
    <x v="2"/>
  </r>
  <r>
    <s v="PRD-410"/>
    <x v="409"/>
    <x v="5"/>
    <d v="2022-10-09T00:00:00"/>
    <n v="904"/>
    <s v="Mature"/>
    <n v="5974"/>
    <n v="3760"/>
    <n v="112"/>
    <n v="170"/>
    <n v="1015580"/>
    <n v="137665"/>
    <n v="877915"/>
    <n v="639200"/>
    <n v="238715"/>
    <n v="0.27191128981735135"/>
    <n v="7"/>
    <n v="37632"/>
    <n v="6.25E-2"/>
    <n v="52"/>
    <n v="3.92"/>
    <n v="535096"/>
    <n v="2891928"/>
    <n v="5.4045031171976614"/>
    <x v="2"/>
  </r>
  <r>
    <s v="PRD-411"/>
    <x v="410"/>
    <x v="5"/>
    <d v="2023-09-23T00:00:00"/>
    <n v="555"/>
    <s v="Mature"/>
    <n v="14186"/>
    <n v="7050"/>
    <n v="40"/>
    <n v="65"/>
    <n v="922090"/>
    <n v="151414"/>
    <n v="770676"/>
    <n v="458250"/>
    <n v="312426"/>
    <n v="0.40539214923002664"/>
    <n v="0"/>
    <n v="0"/>
    <n v="0"/>
    <n v="9"/>
    <n v="4.28"/>
    <n v="523634"/>
    <n v="7503840"/>
    <n v="14.330314685448233"/>
    <x v="0"/>
  </r>
  <r>
    <s v="PRD-412"/>
    <x v="411"/>
    <x v="5"/>
    <d v="2024-03-07T00:00:00"/>
    <n v="389"/>
    <s v="Mature"/>
    <n v="19451"/>
    <n v="16610"/>
    <n v="76"/>
    <n v="119"/>
    <n v="2314669"/>
    <n v="362995"/>
    <n v="1951674"/>
    <n v="1976590"/>
    <n v="-24916"/>
    <n v="-1.276647636849187E-2"/>
    <n v="10"/>
    <n v="175050"/>
    <n v="0.13157894736842105"/>
    <n v="38"/>
    <n v="3.36"/>
    <n v="171903"/>
    <n v="3551910"/>
    <n v="20.662292106594997"/>
    <x v="2"/>
  </r>
  <r>
    <s v="PRD-413"/>
    <x v="412"/>
    <x v="5"/>
    <d v="2023-01-19T00:00:00"/>
    <n v="802"/>
    <s v="Mature"/>
    <n v="9561"/>
    <n v="7320"/>
    <n v="65"/>
    <n v="93"/>
    <n v="889173"/>
    <n v="141325"/>
    <n v="747848"/>
    <n v="680760"/>
    <n v="67088"/>
    <n v="8.9708069019372921E-2"/>
    <n v="3"/>
    <n v="25812"/>
    <n v="4.6153846153846156E-2"/>
    <n v="24"/>
    <n v="3.46"/>
    <n v="130384"/>
    <n v="956940"/>
    <n v="7.3393974720824637"/>
    <x v="2"/>
  </r>
  <r>
    <s v="PRD-414"/>
    <x v="413"/>
    <x v="5"/>
    <d v="2024-03-13T00:00:00"/>
    <n v="383"/>
    <s v="Mature"/>
    <n v="10089"/>
    <n v="8224"/>
    <n v="58"/>
    <n v="89"/>
    <n v="897921"/>
    <n v="143097"/>
    <n v="754824"/>
    <n v="731936"/>
    <n v="22888"/>
    <n v="3.032230029781777E-2"/>
    <n v="3"/>
    <n v="27240"/>
    <n v="5.1724137931034482E-2"/>
    <n v="19"/>
    <n v="2.92"/>
    <n v="139238"/>
    <n v="1353607"/>
    <n v="9.7215343512546859"/>
    <x v="2"/>
  </r>
  <r>
    <s v="PRD-415"/>
    <x v="414"/>
    <x v="5"/>
    <d v="2024-08-02T00:00:00"/>
    <n v="241"/>
    <s v="Mature"/>
    <n v="4884"/>
    <n v="2810"/>
    <n v="154"/>
    <n v="216"/>
    <n v="1054944"/>
    <n v="183168"/>
    <n v="871776"/>
    <n v="606960"/>
    <n v="264816"/>
    <n v="0.30376610505450941"/>
    <n v="10"/>
    <n v="43950"/>
    <n v="6.4935064935064929E-2"/>
    <n v="64"/>
    <n v="4.2699999999999996"/>
    <n v="405981"/>
    <n v="2663632"/>
    <n v="6.560976991534087"/>
    <x v="2"/>
  </r>
  <r>
    <s v="PRD-416"/>
    <x v="415"/>
    <x v="5"/>
    <d v="2024-05-08T00:00:00"/>
    <n v="327"/>
    <s v="Mature"/>
    <n v="19403"/>
    <n v="11280"/>
    <n v="22"/>
    <n v="38"/>
    <n v="737314"/>
    <n v="67670"/>
    <n v="669644"/>
    <n v="428640"/>
    <n v="241004"/>
    <n v="0.3598986924395649"/>
    <n v="1"/>
    <n v="17462"/>
    <n v="4.5454545454545456E-2"/>
    <n v="12"/>
    <n v="4.17"/>
    <n v="324191"/>
    <n v="8786649"/>
    <n v="27.103309468800798"/>
    <x v="0"/>
  </r>
  <r>
    <s v="PRD-417"/>
    <x v="416"/>
    <x v="5"/>
    <d v="2023-03-24T00:00:00"/>
    <n v="738"/>
    <s v="Mature"/>
    <n v="12046"/>
    <n v="8091"/>
    <n v="75"/>
    <n v="110"/>
    <n v="1325060"/>
    <n v="170353"/>
    <n v="1154707"/>
    <n v="890010"/>
    <n v="264697"/>
    <n v="0.22923304353398741"/>
    <n v="6"/>
    <n v="65046"/>
    <n v="0.08"/>
    <n v="29"/>
    <n v="3.88"/>
    <n v="762949"/>
    <n v="9022828"/>
    <n v="11.826253130943222"/>
    <x v="2"/>
  </r>
  <r>
    <s v="PRD-418"/>
    <x v="417"/>
    <x v="5"/>
    <d v="2023-04-06T00:00:00"/>
    <n v="725"/>
    <s v="Mature"/>
    <n v="18617"/>
    <n v="10363"/>
    <n v="46"/>
    <n v="70"/>
    <n v="1303190"/>
    <n v="149465"/>
    <n v="1153725"/>
    <n v="725410"/>
    <n v="428315"/>
    <n v="0.37124531409131289"/>
    <n v="5"/>
    <n v="83775"/>
    <n v="0.10869565217391304"/>
    <n v="18"/>
    <n v="4.28"/>
    <n v="365863"/>
    <n v="9476714"/>
    <n v="25.902356893153996"/>
    <x v="2"/>
  </r>
  <r>
    <s v="PRD-419"/>
    <x v="418"/>
    <x v="5"/>
    <d v="2023-09-05T00:00:00"/>
    <n v="573"/>
    <s v="Mature"/>
    <n v="14077"/>
    <n v="7677"/>
    <n v="43"/>
    <n v="71"/>
    <n v="999467"/>
    <n v="140393"/>
    <n v="859074"/>
    <n v="545067"/>
    <n v="314007"/>
    <n v="0.36551798797309659"/>
    <n v="1"/>
    <n v="12669"/>
    <n v="2.3255813953488372E-2"/>
    <n v="20"/>
    <n v="4.33"/>
    <n v="376659"/>
    <n v="6149985"/>
    <n v="16.327726139558592"/>
    <x v="0"/>
  </r>
  <r>
    <s v="PRD-420"/>
    <x v="419"/>
    <x v="5"/>
    <d v="2022-12-12T00:00:00"/>
    <n v="840"/>
    <s v="Mature"/>
    <n v="19314"/>
    <n v="9175"/>
    <n v="80"/>
    <n v="123"/>
    <n v="2375622"/>
    <n v="358228"/>
    <n v="2017394"/>
    <n v="1128525"/>
    <n v="888869"/>
    <n v="0.44060257936724306"/>
    <n v="5"/>
    <n v="86910"/>
    <n v="6.25E-2"/>
    <n v="32"/>
    <n v="4.55"/>
    <n v="547192"/>
    <n v="12697343"/>
    <n v="23.204547946607406"/>
    <x v="2"/>
  </r>
  <r>
    <s v="PRD-421"/>
    <x v="420"/>
    <x v="5"/>
    <d v="2023-03-04T00:00:00"/>
    <n v="758"/>
    <s v="Mature"/>
    <n v="13835"/>
    <n v="12114"/>
    <n v="87"/>
    <n v="137"/>
    <n v="1895395"/>
    <n v="274885"/>
    <n v="1620510"/>
    <n v="1659618"/>
    <n v="-39108"/>
    <n v="-2.4133143269711388E-2"/>
    <n v="12"/>
    <n v="149412"/>
    <n v="0.13793103448275862"/>
    <n v="33"/>
    <n v="2.83"/>
    <n v="135481"/>
    <n v="2089134"/>
    <n v="15.420125331227258"/>
    <x v="2"/>
  </r>
  <r>
    <s v="PRD-422"/>
    <x v="421"/>
    <x v="5"/>
    <d v="2024-10-02T00:00:00"/>
    <n v="180"/>
    <s v="Mature"/>
    <n v="4992"/>
    <n v="3782"/>
    <n v="92"/>
    <n v="137"/>
    <n v="683904"/>
    <n v="120112"/>
    <n v="563792"/>
    <n v="518134"/>
    <n v="45658"/>
    <n v="8.0983767063030343E-2"/>
    <n v="10"/>
    <n v="44920"/>
    <n v="0.10869565217391304"/>
    <n v="35"/>
    <n v="3.54"/>
    <n v="568739"/>
    <n v="4004491"/>
    <n v="7.0409994742755462"/>
    <x v="2"/>
  </r>
  <r>
    <s v="PRD-423"/>
    <x v="422"/>
    <x v="5"/>
    <d v="2023-05-03T00:00:00"/>
    <n v="698"/>
    <s v="Mature"/>
    <n v="453"/>
    <n v="315"/>
    <n v="529"/>
    <n v="791"/>
    <n v="358323"/>
    <n v="55997"/>
    <n v="302326"/>
    <n v="249165"/>
    <n v="53161"/>
    <n v="0.17583998729847913"/>
    <n v="45"/>
    <n v="18315"/>
    <n v="8.5066162570888462E-2"/>
    <n v="232"/>
    <n v="3.71"/>
    <n v="586490"/>
    <n v="288094"/>
    <n v="0.49121724155569574"/>
    <x v="2"/>
  </r>
  <r>
    <s v="PRD-424"/>
    <x v="423"/>
    <x v="5"/>
    <d v="2024-07-10T00:00:00"/>
    <n v="264"/>
    <s v="Mature"/>
    <n v="4539"/>
    <n v="2829"/>
    <n v="113"/>
    <n v="171"/>
    <n v="776169"/>
    <n v="93868"/>
    <n v="682301"/>
    <n v="483759"/>
    <n v="198542"/>
    <n v="0.29098887441173321"/>
    <n v="4"/>
    <n v="16340"/>
    <n v="3.5398230088495575E-2"/>
    <n v="41"/>
    <n v="3.99"/>
    <n v="537935"/>
    <n v="2877809"/>
    <n v="5.349733703886157"/>
    <x v="2"/>
  </r>
  <r>
    <s v="PRD-425"/>
    <x v="424"/>
    <x v="5"/>
    <d v="2023-08-26T00:00:00"/>
    <n v="583"/>
    <s v="Mature"/>
    <n v="12524"/>
    <n v="5917"/>
    <n v="84"/>
    <n v="131"/>
    <n v="1640644"/>
    <n v="205418"/>
    <n v="1435226"/>
    <n v="775127"/>
    <n v="660099"/>
    <n v="0.45992686866040611"/>
    <n v="7"/>
    <n v="78897"/>
    <n v="8.3333333333333329E-2"/>
    <n v="30"/>
    <n v="4.4800000000000004"/>
    <n v="207089"/>
    <n v="6195142"/>
    <n v="29.91536006258179"/>
    <x v="2"/>
  </r>
  <r>
    <s v="PRD-426"/>
    <x v="425"/>
    <x v="5"/>
    <d v="2023-01-14T00:00:00"/>
    <n v="807"/>
    <s v="Mature"/>
    <n v="11582"/>
    <n v="8797"/>
    <n v="80"/>
    <n v="128"/>
    <n v="1482496"/>
    <n v="185050"/>
    <n v="1297446"/>
    <n v="1126016"/>
    <n v="171430"/>
    <n v="0.1321288130681354"/>
    <n v="7"/>
    <n v="72961"/>
    <n v="8.7499999999999994E-2"/>
    <n v="32"/>
    <n v="3.53"/>
    <n v="418441"/>
    <n v="5740548"/>
    <n v="13.718894658984182"/>
    <x v="2"/>
  </r>
  <r>
    <s v="PRD-427"/>
    <x v="426"/>
    <x v="5"/>
    <d v="2024-06-02T00:00:00"/>
    <n v="302"/>
    <s v="Mature"/>
    <n v="15238"/>
    <n v="8723"/>
    <n v="64"/>
    <n v="96"/>
    <n v="1462848"/>
    <n v="254438"/>
    <n v="1208410"/>
    <n v="837408"/>
    <n v="371002"/>
    <n v="0.30701665825340735"/>
    <n v="7"/>
    <n v="95998"/>
    <n v="0.109375"/>
    <n v="26"/>
    <n v="4.17"/>
    <n v="294091"/>
    <n v="7007883"/>
    <n v="23.828961103876011"/>
    <x v="2"/>
  </r>
  <r>
    <s v="PRD-428"/>
    <x v="427"/>
    <x v="5"/>
    <d v="2023-03-18T00:00:00"/>
    <n v="744"/>
    <s v="Mature"/>
    <n v="12070"/>
    <n v="6788"/>
    <n v="50"/>
    <n v="76"/>
    <n v="917320"/>
    <n v="135735"/>
    <n v="781585"/>
    <n v="515888"/>
    <n v="265697"/>
    <n v="0.33994639098754453"/>
    <n v="6"/>
    <n v="65178"/>
    <n v="0.12"/>
    <n v="26"/>
    <n v="4.37"/>
    <n v="271178"/>
    <n v="4318762"/>
    <n v="15.925930569588978"/>
    <x v="2"/>
  </r>
  <r>
    <s v="PRD-429"/>
    <x v="428"/>
    <x v="5"/>
    <d v="2024-05-26T00:00:00"/>
    <n v="309"/>
    <s v="Mature"/>
    <n v="7219"/>
    <n v="4112"/>
    <n v="85"/>
    <n v="126"/>
    <n v="909594"/>
    <n v="161209"/>
    <n v="748385"/>
    <n v="518112"/>
    <n v="230273"/>
    <n v="0.30769323276121247"/>
    <n v="9"/>
    <n v="58473"/>
    <n v="0.10588235294117647"/>
    <n v="31"/>
    <n v="4.26"/>
    <n v="518246"/>
    <n v="4962925"/>
    <n v="9.5763884332922977"/>
    <x v="2"/>
  </r>
  <r>
    <s v="PRD-430"/>
    <x v="429"/>
    <x v="5"/>
    <d v="2024-05-31T00:00:00"/>
    <n v="304"/>
    <s v="Mature"/>
    <n v="17821"/>
    <n v="11041"/>
    <n v="54"/>
    <n v="80"/>
    <n v="1425680"/>
    <n v="217988"/>
    <n v="1207692"/>
    <n v="883280"/>
    <n v="324412"/>
    <n v="0.26862146971247636"/>
    <n v="4"/>
    <n v="64152"/>
    <n v="7.407407407407407E-2"/>
    <n v="20"/>
    <n v="3.73"/>
    <n v="126925"/>
    <n v="1117386"/>
    <n v="8.8035138861532403"/>
    <x v="2"/>
  </r>
  <r>
    <s v="PRD-431"/>
    <x v="430"/>
    <x v="5"/>
    <d v="2023-02-04T00:00:00"/>
    <n v="786"/>
    <s v="Mature"/>
    <n v="13955"/>
    <n v="9769"/>
    <n v="64"/>
    <n v="89"/>
    <n v="1241995"/>
    <n v="129369"/>
    <n v="1112626"/>
    <n v="869441"/>
    <n v="243185"/>
    <n v="0.21856850370205261"/>
    <n v="10"/>
    <n v="125590"/>
    <n v="0.15625"/>
    <n v="20"/>
    <n v="3.53"/>
    <n v="730655"/>
    <n v="7961664"/>
    <n v="10.896611944077573"/>
    <x v="2"/>
  </r>
  <r>
    <s v="PRD-432"/>
    <x v="431"/>
    <x v="5"/>
    <d v="2023-01-12T00:00:00"/>
    <n v="809"/>
    <s v="Mature"/>
    <n v="10165"/>
    <n v="7223"/>
    <n v="102"/>
    <n v="146"/>
    <n v="1484090"/>
    <n v="226819"/>
    <n v="1257271"/>
    <n v="1054558"/>
    <n v="202713"/>
    <n v="0.16123254254651542"/>
    <n v="7"/>
    <n v="64036"/>
    <n v="6.8627450980392163E-2"/>
    <n v="42"/>
    <n v="3.65"/>
    <n v="454403"/>
    <n v="5784028"/>
    <n v="12.728850821847567"/>
    <x v="2"/>
  </r>
  <r>
    <s v="PRD-433"/>
    <x v="432"/>
    <x v="5"/>
    <d v="2023-01-29T00:00:00"/>
    <n v="792"/>
    <s v="Mature"/>
    <n v="17062"/>
    <n v="9837"/>
    <n v="39"/>
    <n v="58"/>
    <n v="989596"/>
    <n v="107616"/>
    <n v="881980"/>
    <n v="570546"/>
    <n v="311434"/>
    <n v="0.35310778022177375"/>
    <n v="2"/>
    <n v="30710"/>
    <n v="5.128205128205128E-2"/>
    <n v="14"/>
    <n v="4.18"/>
    <n v="638292"/>
    <n v="11252396"/>
    <n v="17.628915919359791"/>
    <x v="2"/>
  </r>
  <r>
    <s v="PRD-434"/>
    <x v="433"/>
    <x v="5"/>
    <d v="2023-10-02T00:00:00"/>
    <n v="546"/>
    <s v="Mature"/>
    <n v="17441"/>
    <n v="8059"/>
    <n v="32"/>
    <n v="48"/>
    <n v="837168"/>
    <n v="81687"/>
    <n v="755481"/>
    <n v="386832"/>
    <n v="368649"/>
    <n v="0.48796594487485456"/>
    <n v="4"/>
    <n v="62784"/>
    <n v="0.125"/>
    <n v="11"/>
    <n v="4.68"/>
    <n v="350407"/>
    <n v="8978314"/>
    <n v="25.622530371824762"/>
    <x v="2"/>
  </r>
  <r>
    <s v="PRD-435"/>
    <x v="434"/>
    <x v="5"/>
    <d v="2022-10-14T00:00:00"/>
    <n v="899"/>
    <s v="Mature"/>
    <n v="11132"/>
    <n v="8844"/>
    <n v="52"/>
    <n v="79"/>
    <n v="879428"/>
    <n v="137389"/>
    <n v="742039"/>
    <n v="698676"/>
    <n v="43363"/>
    <n v="5.8437629289026585E-2"/>
    <n v="2"/>
    <n v="20036"/>
    <n v="3.8461538461538464E-2"/>
    <n v="19"/>
    <n v="3.13"/>
    <n v="489016"/>
    <n v="8400959"/>
    <n v="17.179313151307934"/>
    <x v="2"/>
  </r>
  <r>
    <s v="PRD-436"/>
    <x v="435"/>
    <x v="5"/>
    <d v="2024-10-10T00:00:00"/>
    <n v="172"/>
    <s v="Mature"/>
    <n v="17066"/>
    <n v="14783"/>
    <n v="25"/>
    <n v="35"/>
    <n v="597310"/>
    <n v="68462"/>
    <n v="528848"/>
    <n v="517405"/>
    <n v="11443"/>
    <n v="2.1637597192387982E-2"/>
    <n v="2"/>
    <n v="30718"/>
    <n v="0.08"/>
    <n v="16"/>
    <n v="3.09"/>
    <n v="50460"/>
    <n v="2925915"/>
    <n v="57.98483947681332"/>
    <x v="2"/>
  </r>
  <r>
    <s v="PRD-437"/>
    <x v="436"/>
    <x v="5"/>
    <d v="2022-11-10T00:00:00"/>
    <n v="872"/>
    <s v="Mature"/>
    <n v="3569"/>
    <n v="1906"/>
    <n v="193"/>
    <n v="287"/>
    <n v="1024303"/>
    <n v="140981"/>
    <n v="883322"/>
    <n v="547022"/>
    <n v="336300"/>
    <n v="0.38072186586544882"/>
    <n v="10"/>
    <n v="32120"/>
    <n v="5.181347150259067E-2"/>
    <n v="77"/>
    <n v="4.28"/>
    <n v="68401"/>
    <n v="508199"/>
    <n v="7.4297013201561377"/>
    <x v="4"/>
  </r>
  <r>
    <s v="PRD-438"/>
    <x v="437"/>
    <x v="5"/>
    <d v="2023-02-19T00:00:00"/>
    <n v="771"/>
    <s v="Mature"/>
    <n v="1802"/>
    <n v="1613"/>
    <n v="280"/>
    <n v="429"/>
    <n v="773058"/>
    <n v="82885"/>
    <n v="690173"/>
    <n v="691977"/>
    <n v="-1804"/>
    <n v="-2.6138374001880688E-3"/>
    <n v="4"/>
    <n v="6484"/>
    <n v="1.4285714285714285E-2"/>
    <n v="112"/>
    <n v="2.94"/>
    <n v="431227"/>
    <n v="1279132"/>
    <n v="2.9662613890132112"/>
    <x v="2"/>
  </r>
  <r>
    <s v="PRD-439"/>
    <x v="438"/>
    <x v="5"/>
    <d v="2023-09-16T00:00:00"/>
    <n v="562"/>
    <s v="Mature"/>
    <n v="3344"/>
    <n v="2448"/>
    <n v="194"/>
    <n v="304"/>
    <n v="1016576"/>
    <n v="138387"/>
    <n v="878189"/>
    <n v="744192"/>
    <n v="133997"/>
    <n v="0.15258332773469035"/>
    <n v="7"/>
    <n v="21063"/>
    <n v="3.608247422680412E-2"/>
    <n v="74"/>
    <n v="3.53"/>
    <n v="285775"/>
    <n v="905600"/>
    <n v="3.1689266030968417"/>
    <x v="2"/>
  </r>
  <r>
    <s v="PRD-440"/>
    <x v="439"/>
    <x v="5"/>
    <d v="2024-12-25T00:00:00"/>
    <n v="96"/>
    <s v="Mature"/>
    <n v="14118"/>
    <n v="8584"/>
    <n v="78"/>
    <n v="126"/>
    <n v="1778868"/>
    <n v="214409"/>
    <n v="1564459"/>
    <n v="1081584"/>
    <n v="482875"/>
    <n v="0.30865302318565074"/>
    <n v="6"/>
    <n v="76236"/>
    <n v="7.6923076923076927E-2"/>
    <n v="30"/>
    <n v="4.1500000000000004"/>
    <n v="135838"/>
    <n v="1577718"/>
    <n v="11.614702807756299"/>
    <x v="2"/>
  </r>
  <r>
    <s v="PRD-441"/>
    <x v="440"/>
    <x v="5"/>
    <d v="2024-08-25T00:00:00"/>
    <n v="218"/>
    <s v="Mature"/>
    <n v="16115"/>
    <n v="8685"/>
    <n v="63"/>
    <n v="98"/>
    <n v="1579270"/>
    <n v="152050"/>
    <n v="1427220"/>
    <n v="851130"/>
    <n v="576090"/>
    <n v="0.40364484802623279"/>
    <n v="3"/>
    <n v="43509"/>
    <n v="4.7619047619047616E-2"/>
    <n v="30"/>
    <n v="4.13"/>
    <n v="291220"/>
    <n v="7018696"/>
    <n v="24.10100954604766"/>
    <x v="0"/>
  </r>
  <r>
    <s v="PRD-442"/>
    <x v="441"/>
    <x v="5"/>
    <d v="2023-01-24T00:00:00"/>
    <n v="797"/>
    <s v="Mature"/>
    <n v="16128"/>
    <n v="7835"/>
    <n v="43"/>
    <n v="66"/>
    <n v="1064448"/>
    <n v="172608"/>
    <n v="891840"/>
    <n v="517110"/>
    <n v="374730"/>
    <n v="0.42017626480086112"/>
    <n v="5"/>
    <n v="72575"/>
    <n v="0.11627906976744186"/>
    <n v="15"/>
    <n v="4.43"/>
    <n v="542865"/>
    <n v="10906946"/>
    <n v="20.091451834249767"/>
    <x v="2"/>
  </r>
  <r>
    <s v="PRD-443"/>
    <x v="442"/>
    <x v="5"/>
    <d v="2023-05-18T00:00:00"/>
    <n v="683"/>
    <s v="Mature"/>
    <n v="19194"/>
    <n v="11023"/>
    <n v="38"/>
    <n v="58"/>
    <n v="1113252"/>
    <n v="123561"/>
    <n v="989691"/>
    <n v="639334"/>
    <n v="350357"/>
    <n v="0.35400645251901858"/>
    <n v="3"/>
    <n v="51822"/>
    <n v="7.8947368421052627E-2"/>
    <n v="17"/>
    <n v="4.21"/>
    <n v="144256"/>
    <n v="3008336"/>
    <n v="20.854148181011535"/>
    <x v="2"/>
  </r>
  <r>
    <s v="PRD-444"/>
    <x v="443"/>
    <x v="5"/>
    <d v="2024-10-14T00:00:00"/>
    <n v="168"/>
    <s v="Mature"/>
    <n v="3419"/>
    <n v="2411"/>
    <n v="119"/>
    <n v="179"/>
    <n v="612001"/>
    <n v="66070"/>
    <n v="545931"/>
    <n v="431569"/>
    <n v="114362"/>
    <n v="0.20948068528806754"/>
    <n v="9"/>
    <n v="27693"/>
    <n v="7.5630252100840331E-2"/>
    <n v="43"/>
    <n v="3.67"/>
    <n v="506203"/>
    <n v="1868063"/>
    <n v="3.6903435973315055"/>
    <x v="2"/>
  </r>
  <r>
    <s v="PRD-445"/>
    <x v="444"/>
    <x v="5"/>
    <d v="2023-03-10T00:00:00"/>
    <n v="752"/>
    <s v="Mature"/>
    <n v="2087"/>
    <n v="1867"/>
    <n v="146"/>
    <n v="219"/>
    <n v="457053"/>
    <n v="66653"/>
    <n v="390400"/>
    <n v="408873"/>
    <n v="-18473"/>
    <n v="-4.7318135245901637E-2"/>
    <n v="15"/>
    <n v="28170"/>
    <n v="0.10273972602739725"/>
    <n v="63"/>
    <n v="2.87"/>
    <n v="357116"/>
    <n v="1149467"/>
    <n v="3.2187496499736779"/>
    <x v="2"/>
  </r>
  <r>
    <s v="PRD-446"/>
    <x v="445"/>
    <x v="5"/>
    <d v="2023-07-12T00:00:00"/>
    <n v="628"/>
    <s v="Mature"/>
    <n v="10805"/>
    <n v="8553"/>
    <n v="30"/>
    <n v="41"/>
    <n v="443005"/>
    <n v="90954"/>
    <n v="352051"/>
    <n v="350673"/>
    <n v="1378"/>
    <n v="3.9142056122550423E-3"/>
    <n v="0"/>
    <n v="0"/>
    <n v="0"/>
    <n v="15"/>
    <n v="3.43"/>
    <n v="565876"/>
    <n v="5001847"/>
    <n v="8.8391219984590261"/>
    <x v="2"/>
  </r>
  <r>
    <s v="PRD-447"/>
    <x v="446"/>
    <x v="5"/>
    <d v="2024-05-09T00:00:00"/>
    <n v="326"/>
    <s v="Mature"/>
    <n v="15342"/>
    <n v="10741"/>
    <n v="39"/>
    <n v="55"/>
    <n v="843810"/>
    <n v="147216"/>
    <n v="696594"/>
    <n v="590755"/>
    <n v="105839"/>
    <n v="0.15193785763299714"/>
    <n v="6"/>
    <n v="82842"/>
    <n v="0.15384615384615385"/>
    <n v="21"/>
    <n v="3.6"/>
    <n v="605569"/>
    <n v="9910209"/>
    <n v="16.365119416614789"/>
    <x v="2"/>
  </r>
  <r>
    <s v="PRD-448"/>
    <x v="447"/>
    <x v="5"/>
    <d v="2022-11-06T00:00:00"/>
    <n v="876"/>
    <s v="Mature"/>
    <n v="3662"/>
    <n v="2630"/>
    <n v="136"/>
    <n v="201"/>
    <n v="736062"/>
    <n v="148538"/>
    <n v="587524"/>
    <n v="528630"/>
    <n v="58894"/>
    <n v="0.10024101143102239"/>
    <n v="7"/>
    <n v="23065"/>
    <n v="5.1470588235294115E-2"/>
    <n v="63"/>
    <n v="3.7"/>
    <n v="288271"/>
    <n v="970238"/>
    <n v="3.3657149002154223"/>
    <x v="2"/>
  </r>
  <r>
    <s v="PRD-449"/>
    <x v="448"/>
    <x v="5"/>
    <d v="2024-08-01T00:00:00"/>
    <n v="242"/>
    <s v="Mature"/>
    <n v="16956"/>
    <n v="10969"/>
    <n v="38"/>
    <n v="56"/>
    <n v="949536"/>
    <n v="103051"/>
    <n v="846485"/>
    <n v="614264"/>
    <n v="232221"/>
    <n v="0.27433563500829905"/>
    <n v="3"/>
    <n v="45780"/>
    <n v="7.8947368421052627E-2"/>
    <n v="18"/>
    <n v="3.86"/>
    <n v="58432"/>
    <n v="1871714"/>
    <n v="32.032345290251918"/>
    <x v="2"/>
  </r>
  <r>
    <s v="PRD-450"/>
    <x v="449"/>
    <x v="5"/>
    <d v="2024-06-26T00:00:00"/>
    <n v="278"/>
    <s v="Mature"/>
    <n v="11177"/>
    <n v="7241"/>
    <n v="111"/>
    <n v="163"/>
    <n v="1821851"/>
    <n v="209771"/>
    <n v="1612080"/>
    <n v="1180283"/>
    <n v="431797"/>
    <n v="0.26785085107438839"/>
    <n v="8"/>
    <n v="80472"/>
    <n v="7.2072072072072071E-2"/>
    <n v="36"/>
    <n v="4.01"/>
    <n v="126324"/>
    <n v="1718701"/>
    <n v="13.605498559260315"/>
    <x v="2"/>
  </r>
  <r>
    <s v="PRD-451"/>
    <x v="450"/>
    <x v="6"/>
    <d v="2024-07-10T00:00:00"/>
    <n v="264"/>
    <s v="Mature"/>
    <n v="370"/>
    <n v="276"/>
    <n v="251"/>
    <n v="382"/>
    <n v="141340"/>
    <n v="20910"/>
    <n v="120430"/>
    <n v="105432"/>
    <n v="14998"/>
    <n v="0.12453707547953168"/>
    <n v="5"/>
    <n v="1665"/>
    <n v="1.9920318725099601E-2"/>
    <n v="103"/>
    <n v="3.33"/>
    <n v="178901"/>
    <n v="16846"/>
    <n v="9.4163811269920239E-2"/>
    <x v="2"/>
  </r>
  <r>
    <s v="PRD-452"/>
    <x v="451"/>
    <x v="6"/>
    <d v="2024-10-04T00:00:00"/>
    <n v="178"/>
    <s v="Mature"/>
    <n v="16434"/>
    <n v="13751"/>
    <n v="46"/>
    <n v="71"/>
    <n v="1166814"/>
    <n v="168393"/>
    <n v="998421"/>
    <n v="976321"/>
    <n v="22100"/>
    <n v="2.2134951087767585E-2"/>
    <n v="3"/>
    <n v="44370"/>
    <n v="6.5217391304347824E-2"/>
    <n v="14"/>
    <n v="2.86"/>
    <n v="311595"/>
    <n v="6721888"/>
    <n v="21.572515605192638"/>
    <x v="2"/>
  </r>
  <r>
    <s v="PRD-453"/>
    <x v="452"/>
    <x v="6"/>
    <d v="2024-12-09T00:00:00"/>
    <n v="112"/>
    <s v="Mature"/>
    <n v="7363"/>
    <n v="5112"/>
    <n v="40"/>
    <n v="61"/>
    <n v="449143"/>
    <n v="39729"/>
    <n v="409414"/>
    <n v="311832"/>
    <n v="97582"/>
    <n v="0.23834553776861564"/>
    <n v="0"/>
    <n v="0"/>
    <n v="0"/>
    <n v="17"/>
    <n v="3.97"/>
    <n v="497729"/>
    <n v="4132062"/>
    <n v="8.301830916020565"/>
    <x v="2"/>
  </r>
  <r>
    <s v="PRD-454"/>
    <x v="453"/>
    <x v="6"/>
    <d v="2024-01-05T00:00:00"/>
    <n v="451"/>
    <s v="Mature"/>
    <n v="4336"/>
    <n v="2395"/>
    <n v="178"/>
    <n v="265"/>
    <n v="1149040"/>
    <n v="191968"/>
    <n v="957072"/>
    <n v="634675"/>
    <n v="322397"/>
    <n v="0.33685762408679809"/>
    <n v="8"/>
    <n v="31216"/>
    <n v="4.49438202247191E-2"/>
    <n v="75"/>
    <n v="4.08"/>
    <n v="623332"/>
    <n v="3263692"/>
    <n v="5.2358807184614298"/>
    <x v="0"/>
  </r>
  <r>
    <s v="PRD-455"/>
    <x v="454"/>
    <x v="6"/>
    <d v="2024-05-22T00:00:00"/>
    <n v="313"/>
    <s v="Mature"/>
    <n v="18427"/>
    <n v="8828"/>
    <n v="55"/>
    <n v="79"/>
    <n v="1455733"/>
    <n v="213716"/>
    <n v="1242017"/>
    <n v="697412"/>
    <n v="544605"/>
    <n v="0.43848433636576634"/>
    <n v="0"/>
    <n v="0"/>
    <n v="0"/>
    <n v="21"/>
    <n v="4.76"/>
    <n v="286874"/>
    <n v="8406133"/>
    <n v="29.302526544754841"/>
    <x v="0"/>
  </r>
  <r>
    <s v="PRD-456"/>
    <x v="455"/>
    <x v="6"/>
    <d v="2024-08-04T00:00:00"/>
    <n v="239"/>
    <s v="Mature"/>
    <n v="4505"/>
    <n v="3844"/>
    <n v="116"/>
    <n v="182"/>
    <n v="819910"/>
    <n v="138859"/>
    <n v="681051"/>
    <n v="699608"/>
    <n v="-18557"/>
    <n v="-2.724759232421654E-2"/>
    <n v="6"/>
    <n v="24324"/>
    <n v="5.1724137931034482E-2"/>
    <n v="42"/>
    <n v="3.33"/>
    <n v="268952"/>
    <n v="843674"/>
    <n v="3.1368943157143283"/>
    <x v="2"/>
  </r>
  <r>
    <s v="PRD-457"/>
    <x v="456"/>
    <x v="6"/>
    <d v="2023-09-17T00:00:00"/>
    <n v="561"/>
    <s v="Mature"/>
    <n v="8433"/>
    <n v="6551"/>
    <n v="88"/>
    <n v="135"/>
    <n v="1138455"/>
    <n v="103043"/>
    <n v="1035412"/>
    <n v="884385"/>
    <n v="151027"/>
    <n v="0.14586174392415774"/>
    <n v="11"/>
    <n v="83479"/>
    <n v="0.125"/>
    <n v="44"/>
    <n v="3.15"/>
    <n v="364591"/>
    <n v="6028547"/>
    <n v="16.5350954905634"/>
    <x v="2"/>
  </r>
  <r>
    <s v="PRD-458"/>
    <x v="457"/>
    <x v="6"/>
    <d v="2024-04-13T00:00:00"/>
    <n v="352"/>
    <s v="Mature"/>
    <n v="10093"/>
    <n v="5254"/>
    <n v="86"/>
    <n v="128"/>
    <n v="1291904"/>
    <n v="197420"/>
    <n v="1094484"/>
    <n v="672512"/>
    <n v="421972"/>
    <n v="0.38554423819809153"/>
    <n v="2"/>
    <n v="18166"/>
    <n v="2.3255813953488372E-2"/>
    <n v="44"/>
    <n v="4.4800000000000004"/>
    <n v="614035"/>
    <n v="7959280"/>
    <n v="12.962257851751122"/>
    <x v="0"/>
  </r>
  <r>
    <s v="PRD-459"/>
    <x v="458"/>
    <x v="6"/>
    <d v="2024-08-19T00:00:00"/>
    <n v="224"/>
    <s v="Mature"/>
    <n v="9820"/>
    <n v="5803"/>
    <n v="37"/>
    <n v="55"/>
    <n v="540100"/>
    <n v="64856"/>
    <n v="475244"/>
    <n v="319165"/>
    <n v="156079"/>
    <n v="0.32841866493843164"/>
    <n v="1"/>
    <n v="8838"/>
    <n v="2.7027027027027029E-2"/>
    <n v="17"/>
    <n v="4.03"/>
    <n v="650052"/>
    <n v="6349274"/>
    <n v="9.7673324595570818"/>
    <x v="0"/>
  </r>
  <r>
    <s v="PRD-460"/>
    <x v="459"/>
    <x v="6"/>
    <d v="2024-04-28T00:00:00"/>
    <n v="337"/>
    <s v="Mature"/>
    <n v="4080"/>
    <n v="2275"/>
    <n v="47"/>
    <n v="68"/>
    <n v="277440"/>
    <n v="36507"/>
    <n v="240933"/>
    <n v="154700"/>
    <n v="86233"/>
    <n v="0.35791278073157268"/>
    <n v="9"/>
    <n v="33048"/>
    <n v="0.19148936170212766"/>
    <n v="21"/>
    <n v="4.12"/>
    <n v="193914"/>
    <n v="1820756"/>
    <n v="9.3895025629918418"/>
    <x v="2"/>
  </r>
  <r>
    <s v="PRD-461"/>
    <x v="460"/>
    <x v="6"/>
    <d v="2023-12-07T00:00:00"/>
    <n v="480"/>
    <s v="Mature"/>
    <n v="9668"/>
    <n v="4883"/>
    <n v="64"/>
    <n v="98"/>
    <n v="947464"/>
    <n v="147217"/>
    <n v="800247"/>
    <n v="478534"/>
    <n v="321713"/>
    <n v="0.4020171272119733"/>
    <n v="10"/>
    <n v="87010"/>
    <n v="0.15625"/>
    <n v="20"/>
    <n v="4.55"/>
    <n v="624246"/>
    <n v="5322028"/>
    <n v="8.5255299993912654"/>
    <x v="2"/>
  </r>
  <r>
    <s v="PRD-462"/>
    <x v="461"/>
    <x v="6"/>
    <d v="2023-03-14T00:00:00"/>
    <n v="748"/>
    <s v="Mature"/>
    <n v="9047"/>
    <n v="5088"/>
    <n v="84"/>
    <n v="125"/>
    <n v="1130875"/>
    <n v="103901"/>
    <n v="1026974"/>
    <n v="636000"/>
    <n v="390974"/>
    <n v="0.38070486691970779"/>
    <n v="7"/>
    <n v="56994"/>
    <n v="8.3333333333333329E-2"/>
    <n v="31"/>
    <n v="4"/>
    <n v="74968"/>
    <n v="902600"/>
    <n v="12.039803649557145"/>
    <x v="4"/>
  </r>
  <r>
    <s v="PRD-463"/>
    <x v="462"/>
    <x v="6"/>
    <d v="2022-11-03T00:00:00"/>
    <n v="879"/>
    <s v="Mature"/>
    <n v="6983"/>
    <n v="3916"/>
    <n v="141"/>
    <n v="205"/>
    <n v="1431515"/>
    <n v="194573"/>
    <n v="1236942"/>
    <n v="802780"/>
    <n v="434162"/>
    <n v="0.35099624719671579"/>
    <n v="19"/>
    <n v="119396"/>
    <n v="0.13475177304964539"/>
    <n v="56"/>
    <n v="4.17"/>
    <n v="777043"/>
    <n v="6545113"/>
    <n v="8.4231027111755719"/>
    <x v="2"/>
  </r>
  <r>
    <s v="PRD-464"/>
    <x v="463"/>
    <x v="6"/>
    <d v="2024-03-07T00:00:00"/>
    <n v="389"/>
    <s v="Mature"/>
    <n v="18690"/>
    <n v="13550"/>
    <n v="26"/>
    <n v="40"/>
    <n v="747600"/>
    <n v="101003"/>
    <n v="646597"/>
    <n v="542000"/>
    <n v="104597"/>
    <n v="0.16176536544400918"/>
    <n v="1"/>
    <n v="16821"/>
    <n v="3.8461538461538464E-2"/>
    <n v="13"/>
    <n v="3.62"/>
    <n v="143461"/>
    <n v="4384072"/>
    <n v="30.559329713301874"/>
    <x v="2"/>
  </r>
  <r>
    <s v="PRD-465"/>
    <x v="464"/>
    <x v="6"/>
    <d v="2024-12-16T00:00:00"/>
    <n v="105"/>
    <s v="Mature"/>
    <n v="12998"/>
    <n v="9261"/>
    <n v="77"/>
    <n v="112"/>
    <n v="1455776"/>
    <n v="185819"/>
    <n v="1269957"/>
    <n v="1037232"/>
    <n v="232725"/>
    <n v="0.18325423616705133"/>
    <n v="10"/>
    <n v="116980"/>
    <n v="0.12987012987012986"/>
    <n v="38"/>
    <n v="3.67"/>
    <n v="360134"/>
    <n v="2800918"/>
    <n v="7.7774328444412362"/>
    <x v="2"/>
  </r>
  <r>
    <s v="PRD-466"/>
    <x v="465"/>
    <x v="6"/>
    <d v="2024-07-10T00:00:00"/>
    <n v="264"/>
    <s v="Mature"/>
    <n v="14817"/>
    <n v="7801"/>
    <n v="42"/>
    <n v="64"/>
    <n v="948288"/>
    <n v="148870"/>
    <n v="799418"/>
    <n v="499264"/>
    <n v="300154"/>
    <n v="0.37546565126129261"/>
    <n v="6"/>
    <n v="80010"/>
    <n v="0.14285714285714285"/>
    <n v="16"/>
    <n v="4.16"/>
    <n v="81068"/>
    <n v="2871228"/>
    <n v="35.417526027532439"/>
    <x v="4"/>
  </r>
  <r>
    <s v="PRD-467"/>
    <x v="466"/>
    <x v="6"/>
    <d v="2023-03-31T00:00:00"/>
    <n v="731"/>
    <s v="Mature"/>
    <n v="6639"/>
    <n v="5096"/>
    <n v="71"/>
    <n v="108"/>
    <n v="717012"/>
    <n v="99827"/>
    <n v="617185"/>
    <n v="550368"/>
    <n v="66817"/>
    <n v="0.10826089422134368"/>
    <n v="6"/>
    <n v="35850"/>
    <n v="8.4507042253521125E-2"/>
    <n v="25"/>
    <n v="3.46"/>
    <n v="204503"/>
    <n v="2206529"/>
    <n v="10.789714576314283"/>
    <x v="2"/>
  </r>
  <r>
    <s v="PRD-468"/>
    <x v="467"/>
    <x v="6"/>
    <d v="2024-04-22T00:00:00"/>
    <n v="343"/>
    <s v="Mature"/>
    <n v="1630"/>
    <n v="1152"/>
    <n v="110"/>
    <n v="160"/>
    <n v="260800"/>
    <n v="31349"/>
    <n v="229451"/>
    <n v="184320"/>
    <n v="45131"/>
    <n v="0.19669123255074067"/>
    <n v="12"/>
    <n v="17604"/>
    <n v="0.10909090909090909"/>
    <n v="45"/>
    <n v="3.77"/>
    <n v="242236"/>
    <n v="522657"/>
    <n v="2.1576355289882594"/>
    <x v="2"/>
  </r>
  <r>
    <s v="PRD-469"/>
    <x v="468"/>
    <x v="6"/>
    <d v="2023-08-27T00:00:00"/>
    <n v="582"/>
    <s v="Mature"/>
    <n v="1607"/>
    <n v="1335"/>
    <n v="295"/>
    <n v="439"/>
    <n v="705473"/>
    <n v="93750"/>
    <n v="611723"/>
    <n v="586065"/>
    <n v="25658"/>
    <n v="4.1943820977795504E-2"/>
    <n v="11"/>
    <n v="15906"/>
    <n v="3.7288135593220341E-2"/>
    <n v="107"/>
    <n v="3.17"/>
    <n v="81019"/>
    <n v="203021"/>
    <n v="2.5058443081252544"/>
    <x v="2"/>
  </r>
  <r>
    <s v="PRD-470"/>
    <x v="469"/>
    <x v="6"/>
    <d v="2024-12-11T00:00:00"/>
    <n v="110"/>
    <s v="Mature"/>
    <n v="18326"/>
    <n v="13540"/>
    <n v="27"/>
    <n v="42"/>
    <n v="769692"/>
    <n v="132416"/>
    <n v="637276"/>
    <n v="568680"/>
    <n v="68596"/>
    <n v="0.10763939015434443"/>
    <n v="0"/>
    <n v="0"/>
    <n v="0"/>
    <n v="14"/>
    <n v="3.5"/>
    <n v="522932"/>
    <n v="12636106"/>
    <n v="24.163956307894718"/>
    <x v="2"/>
  </r>
  <r>
    <s v="PRD-471"/>
    <x v="470"/>
    <x v="6"/>
    <d v="2024-04-02T00:00:00"/>
    <n v="363"/>
    <s v="Mature"/>
    <n v="5521"/>
    <n v="3935"/>
    <n v="85"/>
    <n v="133"/>
    <n v="734293"/>
    <n v="95157"/>
    <n v="639136"/>
    <n v="523355"/>
    <n v="115781"/>
    <n v="0.18115236819706604"/>
    <n v="5"/>
    <n v="24840"/>
    <n v="5.8823529411764705E-2"/>
    <n v="33"/>
    <n v="3.55"/>
    <n v="427408"/>
    <n v="2082767"/>
    <n v="4.8730182869763787"/>
    <x v="2"/>
  </r>
  <r>
    <s v="PRD-472"/>
    <x v="471"/>
    <x v="6"/>
    <d v="2024-11-09T00:00:00"/>
    <n v="142"/>
    <s v="Mature"/>
    <n v="9918"/>
    <n v="7951"/>
    <n v="84"/>
    <n v="124"/>
    <n v="1229832"/>
    <n v="128692"/>
    <n v="1101140"/>
    <n v="985924"/>
    <n v="115216"/>
    <n v="0.10463337995168644"/>
    <n v="13"/>
    <n v="116038"/>
    <n v="0.15476190476190477"/>
    <n v="35"/>
    <n v="3.34"/>
    <n v="287919"/>
    <n v="4319474"/>
    <n v="15.002393034151966"/>
    <x v="2"/>
  </r>
  <r>
    <s v="PRD-473"/>
    <x v="472"/>
    <x v="6"/>
    <d v="2024-07-19T00:00:00"/>
    <n v="255"/>
    <s v="Mature"/>
    <n v="14902"/>
    <n v="11800"/>
    <n v="57"/>
    <n v="83"/>
    <n v="1236866"/>
    <n v="193763"/>
    <n v="1043103"/>
    <n v="979400"/>
    <n v="63703"/>
    <n v="6.107067087334616E-2"/>
    <n v="5"/>
    <n v="67055"/>
    <n v="8.771929824561403E-2"/>
    <n v="24"/>
    <n v="3.13"/>
    <n v="569915"/>
    <n v="8045451"/>
    <n v="14.116931472237088"/>
    <x v="2"/>
  </r>
  <r>
    <s v="PRD-474"/>
    <x v="473"/>
    <x v="6"/>
    <d v="2024-04-06T00:00:00"/>
    <n v="359"/>
    <s v="Mature"/>
    <n v="4014"/>
    <n v="2915"/>
    <n v="175"/>
    <n v="269"/>
    <n v="1079766"/>
    <n v="183529"/>
    <n v="896237"/>
    <n v="784135"/>
    <n v="112102"/>
    <n v="0.12508075430940699"/>
    <n v="17"/>
    <n v="61404"/>
    <n v="9.7142857142857142E-2"/>
    <n v="69"/>
    <n v="3.46"/>
    <n v="94238"/>
    <n v="678280"/>
    <n v="7.1975211698041131"/>
    <x v="2"/>
  </r>
  <r>
    <s v="PRD-475"/>
    <x v="474"/>
    <x v="6"/>
    <d v="2023-07-31T00:00:00"/>
    <n v="609"/>
    <s v="Mature"/>
    <n v="14899"/>
    <n v="10145"/>
    <n v="91"/>
    <n v="138"/>
    <n v="2056062"/>
    <n v="280908"/>
    <n v="1775154"/>
    <n v="1400010"/>
    <n v="375144"/>
    <n v="0.21133039725004141"/>
    <n v="3"/>
    <n v="40227"/>
    <n v="3.2967032967032968E-2"/>
    <n v="37"/>
    <n v="3.96"/>
    <n v="177760"/>
    <n v="2562899"/>
    <n v="14.417748649864986"/>
    <x v="2"/>
  </r>
  <r>
    <s v="PRD-476"/>
    <x v="475"/>
    <x v="6"/>
    <d v="2022-12-07T00:00:00"/>
    <n v="845"/>
    <s v="Mature"/>
    <n v="17771"/>
    <n v="15935"/>
    <n v="42"/>
    <n v="66"/>
    <n v="1172886"/>
    <n v="165823"/>
    <n v="1007063"/>
    <n v="1051710"/>
    <n v="-44647"/>
    <n v="-4.4333869877058334E-2"/>
    <n v="1"/>
    <n v="15993"/>
    <n v="2.3809523809523808E-2"/>
    <n v="16"/>
    <n v="2.75"/>
    <n v="495417"/>
    <n v="11198433"/>
    <n v="22.604054765985019"/>
    <x v="2"/>
  </r>
  <r>
    <s v="PRD-477"/>
    <x v="476"/>
    <x v="6"/>
    <d v="2024-09-19T00:00:00"/>
    <n v="193"/>
    <s v="Mature"/>
    <n v="7035"/>
    <n v="4629"/>
    <n v="41"/>
    <n v="58"/>
    <n v="408030"/>
    <n v="73609"/>
    <n v="334421"/>
    <n v="268482"/>
    <n v="65939"/>
    <n v="0.19717362246988077"/>
    <n v="2"/>
    <n v="12662"/>
    <n v="4.878048780487805E-2"/>
    <n v="16"/>
    <n v="3.94"/>
    <n v="406988"/>
    <n v="3564227"/>
    <n v="8.7575727048463339"/>
    <x v="2"/>
  </r>
  <r>
    <s v="PRD-478"/>
    <x v="477"/>
    <x v="6"/>
    <d v="2023-09-05T00:00:00"/>
    <n v="573"/>
    <s v="Mature"/>
    <n v="1077"/>
    <n v="746"/>
    <n v="168"/>
    <n v="248"/>
    <n v="267096"/>
    <n v="53178"/>
    <n v="213918"/>
    <n v="185008"/>
    <n v="28910"/>
    <n v="0.13514524256958274"/>
    <n v="26"/>
    <n v="25194"/>
    <n v="0.15476190476190477"/>
    <n v="59"/>
    <n v="3.76"/>
    <n v="83254"/>
    <n v="111818"/>
    <n v="1.343094626084032"/>
    <x v="2"/>
  </r>
  <r>
    <s v="PRD-479"/>
    <x v="478"/>
    <x v="6"/>
    <d v="2023-11-22T00:00:00"/>
    <n v="495"/>
    <s v="Mature"/>
    <n v="7758"/>
    <n v="3801"/>
    <n v="68"/>
    <n v="100"/>
    <n v="775800"/>
    <n v="108541"/>
    <n v="667259"/>
    <n v="380100"/>
    <n v="287159"/>
    <n v="0.43035612857975691"/>
    <n v="5"/>
    <n v="34910"/>
    <n v="7.3529411764705885E-2"/>
    <n v="24"/>
    <n v="4.4000000000000004"/>
    <n v="350889"/>
    <n v="3068799"/>
    <n v="8.7457828544069489"/>
    <x v="2"/>
  </r>
  <r>
    <s v="PRD-480"/>
    <x v="479"/>
    <x v="6"/>
    <d v="2024-10-07T00:00:00"/>
    <n v="175"/>
    <s v="Mature"/>
    <n v="17824"/>
    <n v="15994"/>
    <n v="83"/>
    <n v="130"/>
    <n v="2317120"/>
    <n v="301008"/>
    <n v="2016112"/>
    <n v="2079220"/>
    <n v="-63108"/>
    <n v="-3.1301832437880435E-2"/>
    <n v="1"/>
    <n v="16041"/>
    <n v="1.2048192771084338E-2"/>
    <n v="35"/>
    <n v="2.97"/>
    <n v="547704"/>
    <n v="9828425"/>
    <n v="17.944774914917545"/>
    <x v="2"/>
  </r>
  <r>
    <s v="PRD-481"/>
    <x v="480"/>
    <x v="6"/>
    <d v="2024-12-14T00:00:00"/>
    <n v="107"/>
    <s v="Mature"/>
    <n v="16775"/>
    <n v="14296"/>
    <n v="44"/>
    <n v="71"/>
    <n v="1191025"/>
    <n v="102905"/>
    <n v="1088120"/>
    <n v="1015016"/>
    <n v="73104"/>
    <n v="6.718376649634232E-2"/>
    <n v="0"/>
    <n v="0"/>
    <n v="0"/>
    <n v="21"/>
    <n v="3.17"/>
    <n v="432519"/>
    <n v="11679840"/>
    <n v="27.004224091889604"/>
    <x v="2"/>
  </r>
  <r>
    <s v="PRD-482"/>
    <x v="481"/>
    <x v="6"/>
    <d v="2023-05-14T00:00:00"/>
    <n v="687"/>
    <s v="Mature"/>
    <n v="15830"/>
    <n v="13133"/>
    <n v="23"/>
    <n v="33"/>
    <n v="522390"/>
    <n v="83401"/>
    <n v="438989"/>
    <n v="433389"/>
    <n v="5600"/>
    <n v="1.2756583877955939E-2"/>
    <n v="1"/>
    <n v="14247"/>
    <n v="4.3478260869565216E-2"/>
    <n v="11"/>
    <n v="2.91"/>
    <n v="787550"/>
    <n v="13826891"/>
    <n v="17.556842105263158"/>
    <x v="2"/>
  </r>
  <r>
    <s v="PRD-483"/>
    <x v="482"/>
    <x v="6"/>
    <d v="2024-12-23T00:00:00"/>
    <n v="98"/>
    <s v="Mature"/>
    <n v="10065"/>
    <n v="5990"/>
    <n v="103"/>
    <n v="159"/>
    <n v="1600335"/>
    <n v="121929"/>
    <n v="1478406"/>
    <n v="952410"/>
    <n v="525996"/>
    <n v="0.35578589372608066"/>
    <n v="10"/>
    <n v="90580"/>
    <n v="9.7087378640776698E-2"/>
    <n v="49"/>
    <n v="4.2"/>
    <n v="714230"/>
    <n v="7557972"/>
    <n v="10.581986194923203"/>
    <x v="2"/>
  </r>
  <r>
    <s v="PRD-484"/>
    <x v="483"/>
    <x v="6"/>
    <d v="2022-10-06T00:00:00"/>
    <n v="907"/>
    <s v="Mature"/>
    <n v="4931"/>
    <n v="4164"/>
    <n v="95"/>
    <n v="148"/>
    <n v="729788"/>
    <n v="126147"/>
    <n v="603641"/>
    <n v="616272"/>
    <n v="-12631"/>
    <n v="-2.0924688680855012E-2"/>
    <n v="2"/>
    <n v="8874"/>
    <n v="2.1052631578947368E-2"/>
    <n v="45"/>
    <n v="3.03"/>
    <n v="611669"/>
    <n v="3526306"/>
    <n v="5.7650559371163164"/>
    <x v="2"/>
  </r>
  <r>
    <s v="PRD-485"/>
    <x v="484"/>
    <x v="6"/>
    <d v="2024-07-23T00:00:00"/>
    <n v="251"/>
    <s v="Mature"/>
    <n v="7237"/>
    <n v="5169"/>
    <n v="37"/>
    <n v="57"/>
    <n v="412509"/>
    <n v="60781"/>
    <n v="351728"/>
    <n v="294633"/>
    <n v="57095"/>
    <n v="0.16232713915298186"/>
    <n v="1"/>
    <n v="6513"/>
    <n v="2.7027027027027029E-2"/>
    <n v="9"/>
    <n v="3.67"/>
    <n v="667781"/>
    <n v="4150642"/>
    <n v="6.2155736686129135"/>
    <x v="2"/>
  </r>
  <r>
    <s v="PRD-486"/>
    <x v="485"/>
    <x v="6"/>
    <d v="2024-12-27T00:00:00"/>
    <n v="94"/>
    <s v="Mature"/>
    <n v="4054"/>
    <n v="3317"/>
    <n v="172"/>
    <n v="249"/>
    <n v="1009446"/>
    <n v="183331"/>
    <n v="826115"/>
    <n v="825933"/>
    <n v="182"/>
    <n v="2.2030831058629852E-4"/>
    <n v="10"/>
    <n v="36480"/>
    <n v="5.8139534883720929E-2"/>
    <n v="67"/>
    <n v="3.3"/>
    <n v="229182"/>
    <n v="1595030"/>
    <n v="6.9596652442163869"/>
    <x v="2"/>
  </r>
  <r>
    <s v="PRD-487"/>
    <x v="486"/>
    <x v="6"/>
    <d v="2022-12-08T00:00:00"/>
    <n v="844"/>
    <s v="Mature"/>
    <n v="2695"/>
    <n v="2073"/>
    <n v="107"/>
    <n v="155"/>
    <n v="417725"/>
    <n v="69560"/>
    <n v="348165"/>
    <n v="321315"/>
    <n v="26850"/>
    <n v="7.7118607556761878E-2"/>
    <n v="1"/>
    <n v="2425"/>
    <n v="9.3457943925233638E-3"/>
    <n v="39"/>
    <n v="3.35"/>
    <n v="20394"/>
    <n v="266266"/>
    <n v="13.056094929881338"/>
    <x v="2"/>
  </r>
  <r>
    <s v="PRD-488"/>
    <x v="487"/>
    <x v="6"/>
    <d v="2022-12-11T00:00:00"/>
    <n v="841"/>
    <s v="Mature"/>
    <n v="3577"/>
    <n v="2760"/>
    <n v="89"/>
    <n v="133"/>
    <n v="475741"/>
    <n v="61960"/>
    <n v="413781"/>
    <n v="367080"/>
    <n v="46701"/>
    <n v="0.11286405127349974"/>
    <n v="1"/>
    <n v="3219"/>
    <n v="1.1235955056179775E-2"/>
    <n v="33"/>
    <n v="3.23"/>
    <n v="538725"/>
    <n v="2416420"/>
    <n v="4.4854424799294632"/>
    <x v="2"/>
  </r>
  <r>
    <s v="PRD-489"/>
    <x v="488"/>
    <x v="6"/>
    <d v="2023-10-09T00:00:00"/>
    <n v="539"/>
    <s v="Mature"/>
    <n v="5292"/>
    <n v="3415"/>
    <n v="84"/>
    <n v="127"/>
    <n v="672084"/>
    <n v="120000"/>
    <n v="552084"/>
    <n v="433705"/>
    <n v="118379"/>
    <n v="0.21442208069786481"/>
    <n v="2"/>
    <n v="9524"/>
    <n v="2.3809523809523808E-2"/>
    <n v="36"/>
    <n v="3.92"/>
    <n v="469259"/>
    <n v="3903172"/>
    <n v="8.3177349821740236"/>
    <x v="2"/>
  </r>
  <r>
    <s v="PRD-490"/>
    <x v="489"/>
    <x v="6"/>
    <d v="2023-10-04T00:00:00"/>
    <n v="544"/>
    <s v="Mature"/>
    <n v="14589"/>
    <n v="11313"/>
    <n v="87"/>
    <n v="124"/>
    <n v="1809036"/>
    <n v="306574"/>
    <n v="1502462"/>
    <n v="1402812"/>
    <n v="99650"/>
    <n v="6.6324472765367778E-2"/>
    <n v="3"/>
    <n v="39390"/>
    <n v="3.4482758620689655E-2"/>
    <n v="34"/>
    <n v="3.37"/>
    <n v="192923"/>
    <n v="2145013"/>
    <n v="11.118492870212469"/>
    <x v="2"/>
  </r>
  <r>
    <s v="PRD-491"/>
    <x v="490"/>
    <x v="6"/>
    <d v="2023-03-29T00:00:00"/>
    <n v="733"/>
    <s v="Mature"/>
    <n v="16256"/>
    <n v="10594"/>
    <n v="39"/>
    <n v="59"/>
    <n v="959104"/>
    <n v="170973"/>
    <n v="788131"/>
    <n v="625046"/>
    <n v="163085"/>
    <n v="0.20692625972078246"/>
    <n v="1"/>
    <n v="14630"/>
    <n v="2.564102564102564E-2"/>
    <n v="16"/>
    <n v="4.03"/>
    <n v="488212"/>
    <n v="11431552"/>
    <n v="23.41513932471959"/>
    <x v="0"/>
  </r>
  <r>
    <s v="PRD-492"/>
    <x v="491"/>
    <x v="6"/>
    <d v="2024-07-03T00:00:00"/>
    <n v="271"/>
    <s v="Mature"/>
    <n v="8924"/>
    <n v="5085"/>
    <n v="54"/>
    <n v="84"/>
    <n v="749616"/>
    <n v="64525"/>
    <n v="685091"/>
    <n v="427140"/>
    <n v="257951"/>
    <n v="0.37652078337038436"/>
    <n v="3"/>
    <n v="24093"/>
    <n v="5.5555555555555552E-2"/>
    <n v="18"/>
    <n v="4.22"/>
    <n v="379911"/>
    <n v="4609740"/>
    <n v="12.133736585674013"/>
    <x v="2"/>
  </r>
  <r>
    <s v="PRD-493"/>
    <x v="492"/>
    <x v="6"/>
    <d v="2024-04-17T00:00:00"/>
    <n v="348"/>
    <s v="Mature"/>
    <n v="7270"/>
    <n v="3578"/>
    <n v="79"/>
    <n v="121"/>
    <n v="879670"/>
    <n v="144207"/>
    <n v="735463"/>
    <n v="432938"/>
    <n v="302525"/>
    <n v="0.41133952353823372"/>
    <n v="7"/>
    <n v="45801"/>
    <n v="8.8607594936708861E-2"/>
    <n v="39"/>
    <n v="4.28"/>
    <n v="275154"/>
    <n v="2621398"/>
    <n v="9.5270212317465859"/>
    <x v="2"/>
  </r>
  <r>
    <s v="PRD-494"/>
    <x v="493"/>
    <x v="6"/>
    <d v="2024-11-29T00:00:00"/>
    <n v="122"/>
    <s v="Mature"/>
    <n v="13160"/>
    <n v="10521"/>
    <n v="71"/>
    <n v="101"/>
    <n v="1329160"/>
    <n v="197347"/>
    <n v="1131813"/>
    <n v="1062621"/>
    <n v="69192"/>
    <n v="6.1133773865470711E-2"/>
    <n v="4"/>
    <n v="47376"/>
    <n v="5.6338028169014086E-2"/>
    <n v="27"/>
    <n v="3.28"/>
    <n v="361172"/>
    <n v="5073858"/>
    <n v="14.048314930282524"/>
    <x v="2"/>
  </r>
  <r>
    <s v="PRD-495"/>
    <x v="494"/>
    <x v="6"/>
    <d v="2024-08-09T00:00:00"/>
    <n v="234"/>
    <s v="Mature"/>
    <n v="12222"/>
    <n v="8237"/>
    <n v="33"/>
    <n v="49"/>
    <n v="598878"/>
    <n v="95276"/>
    <n v="503602"/>
    <n v="403613"/>
    <n v="99989"/>
    <n v="0.1985476626383533"/>
    <n v="1"/>
    <n v="10999"/>
    <n v="3.0303030303030304E-2"/>
    <n v="6"/>
    <n v="4.33"/>
    <n v="233041"/>
    <n v="3227008"/>
    <n v="13.847383078514081"/>
    <x v="0"/>
  </r>
  <r>
    <s v="PRD-496"/>
    <x v="495"/>
    <x v="6"/>
    <d v="2023-04-02T00:00:00"/>
    <n v="729"/>
    <s v="Mature"/>
    <n v="4898"/>
    <n v="3424"/>
    <n v="89"/>
    <n v="134"/>
    <n v="656332"/>
    <n v="90380"/>
    <n v="565952"/>
    <n v="458816"/>
    <n v="107136"/>
    <n v="0.18930227298428134"/>
    <n v="3"/>
    <n v="13224"/>
    <n v="3.3707865168539325E-2"/>
    <n v="41"/>
    <n v="3.62"/>
    <n v="414304"/>
    <n v="2154141"/>
    <n v="5.199421197960918"/>
    <x v="2"/>
  </r>
  <r>
    <s v="PRD-497"/>
    <x v="496"/>
    <x v="6"/>
    <d v="2024-11-18T00:00:00"/>
    <n v="133"/>
    <s v="Mature"/>
    <n v="12056"/>
    <n v="10631"/>
    <n v="81"/>
    <n v="121"/>
    <n v="1458776"/>
    <n v="269687"/>
    <n v="1189089"/>
    <n v="1286351"/>
    <n v="-97262"/>
    <n v="-8.1795391261713798E-2"/>
    <n v="4"/>
    <n v="43400"/>
    <n v="4.9382716049382713E-2"/>
    <n v="29"/>
    <n v="3"/>
    <n v="533466"/>
    <n v="7409721"/>
    <n v="13.889771794266176"/>
    <x v="2"/>
  </r>
  <r>
    <s v="PRD-498"/>
    <x v="497"/>
    <x v="6"/>
    <d v="2024-01-09T00:00:00"/>
    <n v="447"/>
    <s v="Mature"/>
    <n v="12136"/>
    <n v="8802"/>
    <n v="89"/>
    <n v="126"/>
    <n v="1529136"/>
    <n v="253039"/>
    <n v="1276097"/>
    <n v="1109052"/>
    <n v="167045"/>
    <n v="0.13090305830983068"/>
    <n v="9"/>
    <n v="98298"/>
    <n v="0.10112359550561797"/>
    <n v="37"/>
    <n v="3.51"/>
    <n v="528276"/>
    <n v="6794123"/>
    <n v="12.860934435787353"/>
    <x v="2"/>
  </r>
  <r>
    <s v="PRD-499"/>
    <x v="498"/>
    <x v="6"/>
    <d v="2023-06-27T00:00:00"/>
    <n v="643"/>
    <s v="Mature"/>
    <n v="9260"/>
    <n v="4855"/>
    <n v="120"/>
    <n v="183"/>
    <n v="1694580"/>
    <n v="177337"/>
    <n v="1517243"/>
    <n v="888465"/>
    <n v="628778"/>
    <n v="0.41442142095893669"/>
    <n v="9"/>
    <n v="75006"/>
    <n v="7.4999999999999997E-2"/>
    <n v="45"/>
    <n v="4.33"/>
    <n v="720182"/>
    <n v="5567788"/>
    <n v="7.7310846424931476"/>
    <x v="2"/>
  </r>
  <r>
    <s v="PRD-500"/>
    <x v="499"/>
    <x v="6"/>
    <d v="2023-05-17T00:00:00"/>
    <n v="684"/>
    <s v="Mature"/>
    <n v="17229"/>
    <n v="13555"/>
    <n v="58"/>
    <n v="83"/>
    <n v="1430007"/>
    <n v="282173"/>
    <n v="1147834"/>
    <n v="1125065"/>
    <n v="22769"/>
    <n v="1.9836492036304901E-2"/>
    <n v="1"/>
    <n v="15506"/>
    <n v="1.7241379310344827E-2"/>
    <n v="30"/>
    <n v="3.47"/>
    <n v="38966"/>
    <n v="2950202"/>
    <n v="75.71221064517784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EB7D60-B0E5-49F5-9E74-33C957BFA3E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L5" firstHeaderRow="0" firstDataRow="1" firstDataCol="1" rowPageCount="1" colPageCount="1"/>
  <pivotFields count="25">
    <pivotField showAll="0"/>
    <pivotField axis="axisRow" showAll="0">
      <items count="501">
        <item x="0"/>
        <item x="3"/>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1"/>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2"/>
        <item x="4"/>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dataField="1" showAll="0"/>
    <pivotField showAll="0"/>
    <pivotField showAll="0"/>
    <pivotField showAll="0"/>
    <pivotField showAll="0"/>
    <pivotField showAll="0"/>
    <pivotField showAll="0"/>
    <pivotField axis="axisPage" showAll="0">
      <items count="6">
        <item x="4"/>
        <item x="3"/>
        <item x="1"/>
        <item x="0"/>
        <item x="2"/>
        <item t="default"/>
      </items>
    </pivotField>
  </pivotFields>
  <rowFields count="1">
    <field x="1"/>
  </rowFields>
  <rowItems count="2">
    <i>
      <x v="240"/>
    </i>
    <i t="grand">
      <x/>
    </i>
  </rowItems>
  <colFields count="1">
    <field x="-2"/>
  </colFields>
  <colItems count="3">
    <i>
      <x/>
    </i>
    <i i="1">
      <x v="1"/>
    </i>
    <i i="2">
      <x v="2"/>
    </i>
  </colItems>
  <pageFields count="1">
    <pageField fld="24" item="2" hier="-1"/>
  </pageFields>
  <dataFields count="3">
    <dataField name="Sum of Net Sales" fld="12" baseField="0" baseItem="0" numFmtId="6"/>
    <dataField name="Sum of Effective Margin %" fld="15" baseField="0" baseItem="0" numFmtId="10"/>
    <dataField name="Sum of Total Refund Amount" fld="17"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094EE8-855D-475A-88C6-7EB4842DF8A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C26" firstHeaderRow="0" firstDataRow="1" firstDataCol="1"/>
  <pivotFields count="25">
    <pivotField dataField="1"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6">
        <item x="4"/>
        <item x="3"/>
        <item x="1"/>
        <item x="0"/>
        <item x="2"/>
        <item t="default"/>
      </items>
    </pivotField>
  </pivotFields>
  <rowFields count="1">
    <field x="24"/>
  </rowFields>
  <rowItems count="6">
    <i>
      <x/>
    </i>
    <i>
      <x v="1"/>
    </i>
    <i>
      <x v="2"/>
    </i>
    <i>
      <x v="3"/>
    </i>
    <i>
      <x v="4"/>
    </i>
    <i t="grand">
      <x/>
    </i>
  </rowItems>
  <colFields count="1">
    <field x="-2"/>
  </colFields>
  <colItems count="2">
    <i>
      <x/>
    </i>
    <i i="1">
      <x v="1"/>
    </i>
  </colItems>
  <dataFields count="2">
    <dataField name="Count of Product ID" fld="0" subtotal="count" baseField="0" baseItem="0" numFmtId="164"/>
    <dataField name="Sum of Gross Profit" fld="14"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5B5DC6-7BA1-4D06-B3BD-AD99E3DBBFB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1" firstHeaderRow="0" firstDataRow="1" firstDataCol="1"/>
  <pivotFields count="25">
    <pivotField showAll="0"/>
    <pivotField showAll="0"/>
    <pivotField axis="axisRow" showAll="0">
      <items count="8">
        <item x="4"/>
        <item x="1"/>
        <item x="5"/>
        <item x="2"/>
        <item x="3"/>
        <item x="6"/>
        <item x="0"/>
        <item t="default"/>
      </items>
    </pivotField>
    <pivotField numFmtId="14"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dataField="1" showAll="0"/>
    <pivotField showAll="0"/>
    <pivotField showAll="0"/>
    <pivotField showAll="0"/>
    <pivotField showAll="0"/>
    <pivotField showAll="0"/>
    <pivotField showAll="0">
      <items count="6">
        <item x="4"/>
        <item x="3"/>
        <item x="1"/>
        <item x="0"/>
        <item x="2"/>
        <item t="default"/>
      </items>
    </pivotField>
  </pivotFields>
  <rowFields count="1">
    <field x="2"/>
  </rowFields>
  <rowItems count="8">
    <i>
      <x/>
    </i>
    <i>
      <x v="1"/>
    </i>
    <i>
      <x v="2"/>
    </i>
    <i>
      <x v="3"/>
    </i>
    <i>
      <x v="4"/>
    </i>
    <i>
      <x v="5"/>
    </i>
    <i>
      <x v="6"/>
    </i>
    <i t="grand">
      <x/>
    </i>
  </rowItems>
  <colFields count="1">
    <field x="-2"/>
  </colFields>
  <colItems count="3">
    <i>
      <x/>
    </i>
    <i i="1">
      <x v="1"/>
    </i>
    <i i="2">
      <x v="2"/>
    </i>
  </colItems>
  <dataFields count="3">
    <dataField name="Sum of Net Sales" fld="12" baseField="0" baseItem="0" numFmtId="165"/>
    <dataField name="Average of Return Rate %" fld="18" subtotal="average" baseField="2" baseItem="0" numFmtId="10"/>
    <dataField name="Average of Effective Margin %" fld="15" subtotal="average" baseField="2"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064AF6-9E8A-4583-B17F-6F4CC9BA4F9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I15:K23" firstHeaderRow="0" firstDataRow="1" firstDataCol="1"/>
  <pivotFields count="25">
    <pivotField showAll="0"/>
    <pivotField showAll="0"/>
    <pivotField axis="axisRow" showAll="0">
      <items count="8">
        <item x="4"/>
        <item x="1"/>
        <item x="5"/>
        <item x="2"/>
        <item x="3"/>
        <item x="6"/>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s>
  <rowFields count="1">
    <field x="2"/>
  </rowFields>
  <rowItems count="8">
    <i>
      <x/>
    </i>
    <i>
      <x v="1"/>
    </i>
    <i>
      <x v="2"/>
    </i>
    <i>
      <x v="3"/>
    </i>
    <i>
      <x v="4"/>
    </i>
    <i>
      <x v="5"/>
    </i>
    <i>
      <x v="6"/>
    </i>
    <i t="grand">
      <x/>
    </i>
  </rowItems>
  <colFields count="1">
    <field x="-2"/>
  </colFields>
  <colItems count="2">
    <i>
      <x/>
    </i>
    <i i="1">
      <x v="1"/>
    </i>
  </colItems>
  <dataFields count="2">
    <dataField name="Sum of Campaign Spend" fld="21" baseField="0" baseItem="0" numFmtId="6"/>
    <dataField name="Sum of ROAS" fld="23" baseField="0" baseItem="0"/>
  </dataFields>
  <chartFormats count="30">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5" format="18" series="1">
      <pivotArea type="data" outline="0" fieldPosition="0">
        <references count="1">
          <reference field="4294967294" count="1" selected="0">
            <x v="0"/>
          </reference>
        </references>
      </pivotArea>
    </chartFormat>
    <chartFormat chart="15" format="19">
      <pivotArea type="data" outline="0" fieldPosition="0">
        <references count="2">
          <reference field="4294967294" count="1" selected="0">
            <x v="0"/>
          </reference>
          <reference field="2" count="1" selected="0">
            <x v="0"/>
          </reference>
        </references>
      </pivotArea>
    </chartFormat>
    <chartFormat chart="15" format="20">
      <pivotArea type="data" outline="0" fieldPosition="0">
        <references count="2">
          <reference field="4294967294" count="1" selected="0">
            <x v="0"/>
          </reference>
          <reference field="2" count="1" selected="0">
            <x v="1"/>
          </reference>
        </references>
      </pivotArea>
    </chartFormat>
    <chartFormat chart="15" format="21">
      <pivotArea type="data" outline="0" fieldPosition="0">
        <references count="2">
          <reference field="4294967294" count="1" selected="0">
            <x v="0"/>
          </reference>
          <reference field="2" count="1" selected="0">
            <x v="2"/>
          </reference>
        </references>
      </pivotArea>
    </chartFormat>
    <chartFormat chart="15" format="22">
      <pivotArea type="data" outline="0" fieldPosition="0">
        <references count="2">
          <reference field="4294967294" count="1" selected="0">
            <x v="0"/>
          </reference>
          <reference field="2" count="1" selected="0">
            <x v="3"/>
          </reference>
        </references>
      </pivotArea>
    </chartFormat>
    <chartFormat chart="15" format="23">
      <pivotArea type="data" outline="0" fieldPosition="0">
        <references count="2">
          <reference field="4294967294" count="1" selected="0">
            <x v="0"/>
          </reference>
          <reference field="2" count="1" selected="0">
            <x v="4"/>
          </reference>
        </references>
      </pivotArea>
    </chartFormat>
    <chartFormat chart="15" format="24">
      <pivotArea type="data" outline="0" fieldPosition="0">
        <references count="2">
          <reference field="4294967294" count="1" selected="0">
            <x v="0"/>
          </reference>
          <reference field="2" count="1" selected="0">
            <x v="5"/>
          </reference>
        </references>
      </pivotArea>
    </chartFormat>
    <chartFormat chart="15" format="25">
      <pivotArea type="data" outline="0" fieldPosition="0">
        <references count="2">
          <reference field="4294967294" count="1" selected="0">
            <x v="0"/>
          </reference>
          <reference field="2" count="1" selected="0">
            <x v="6"/>
          </reference>
        </references>
      </pivotArea>
    </chartFormat>
    <chartFormat chart="15" format="26" series="1">
      <pivotArea type="data" outline="0" fieldPosition="0">
        <references count="1">
          <reference field="4294967294" count="1" selected="0">
            <x v="1"/>
          </reference>
        </references>
      </pivotArea>
    </chartFormat>
    <chartFormat chart="15" format="27">
      <pivotArea type="data" outline="0" fieldPosition="0">
        <references count="2">
          <reference field="4294967294" count="1" selected="0">
            <x v="1"/>
          </reference>
          <reference field="2" count="1" selected="0">
            <x v="0"/>
          </reference>
        </references>
      </pivotArea>
    </chartFormat>
    <chartFormat chart="15" format="28">
      <pivotArea type="data" outline="0" fieldPosition="0">
        <references count="2">
          <reference field="4294967294" count="1" selected="0">
            <x v="1"/>
          </reference>
          <reference field="2" count="1" selected="0">
            <x v="1"/>
          </reference>
        </references>
      </pivotArea>
    </chartFormat>
    <chartFormat chart="15" format="29">
      <pivotArea type="data" outline="0" fieldPosition="0">
        <references count="2">
          <reference field="4294967294" count="1" selected="0">
            <x v="1"/>
          </reference>
          <reference field="2" count="1" selected="0">
            <x v="2"/>
          </reference>
        </references>
      </pivotArea>
    </chartFormat>
    <chartFormat chart="15" format="30">
      <pivotArea type="data" outline="0" fieldPosition="0">
        <references count="2">
          <reference field="4294967294" count="1" selected="0">
            <x v="1"/>
          </reference>
          <reference field="2" count="1" selected="0">
            <x v="3"/>
          </reference>
        </references>
      </pivotArea>
    </chartFormat>
    <chartFormat chart="15" format="31">
      <pivotArea type="data" outline="0" fieldPosition="0">
        <references count="2">
          <reference field="4294967294" count="1" selected="0">
            <x v="1"/>
          </reference>
          <reference field="2" count="1" selected="0">
            <x v="4"/>
          </reference>
        </references>
      </pivotArea>
    </chartFormat>
    <chartFormat chart="15" format="32">
      <pivotArea type="data" outline="0" fieldPosition="0">
        <references count="2">
          <reference field="4294967294" count="1" selected="0">
            <x v="1"/>
          </reference>
          <reference field="2" count="1" selected="0">
            <x v="5"/>
          </reference>
        </references>
      </pivotArea>
    </chartFormat>
    <chartFormat chart="15" format="33">
      <pivotArea type="data" outline="0" fieldPosition="0">
        <references count="2">
          <reference field="4294967294" count="1" selected="0">
            <x v="1"/>
          </reference>
          <reference field="2" count="1" selected="0">
            <x v="6"/>
          </reference>
        </references>
      </pivotArea>
    </chartFormat>
    <chartFormat chart="39"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1"/>
          </reference>
        </references>
      </pivotArea>
    </chartFormat>
    <chartFormat chart="41" format="4"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1"/>
          </reference>
        </references>
      </pivotArea>
    </chartFormat>
    <chartFormat chart="50" format="0" series="1">
      <pivotArea type="data" outline="0" fieldPosition="0">
        <references count="1">
          <reference field="4294967294" count="1" selected="0">
            <x v="0"/>
          </reference>
        </references>
      </pivotArea>
    </chartFormat>
    <chartFormat chart="50" format="1" series="1">
      <pivotArea type="data" outline="0" fieldPosition="0">
        <references count="1">
          <reference field="4294967294" count="1" selected="0">
            <x v="1"/>
          </reference>
        </references>
      </pivotArea>
    </chartFormat>
    <chartFormat chart="51" format="2" series="1">
      <pivotArea type="data" outline="0" fieldPosition="0">
        <references count="1">
          <reference field="4294967294" count="1" selected="0">
            <x v="0"/>
          </reference>
        </references>
      </pivotArea>
    </chartFormat>
    <chartFormat chart="51" format="3" series="1">
      <pivotArea type="data" outline="0" fieldPosition="0">
        <references count="1">
          <reference field="4294967294" count="1" selected="0">
            <x v="1"/>
          </reference>
        </references>
      </pivotArea>
    </chartFormat>
    <chartFormat chart="52" format="4" series="1">
      <pivotArea type="data" outline="0" fieldPosition="0">
        <references count="1">
          <reference field="4294967294" count="1" selected="0">
            <x v="0"/>
          </reference>
        </references>
      </pivotArea>
    </chartFormat>
    <chartFormat chart="5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Archetype" xr10:uid="{A81DF94A-0CBA-4613-AAF4-2A59DB4EE19C}" sourceName="Product Archetype">
  <pivotTables>
    <pivotTable tabId="7" name="PivotTable2"/>
  </pivotTables>
  <data>
    <tabular pivotCacheId="1252155986">
      <items count="5">
        <i x="4" s="1"/>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C55993D-6932-4393-933B-3832C7DA02CD}" sourceName="Category">
  <pivotTables>
    <pivotTable tabId="7" name="PivotTable2"/>
  </pivotTables>
  <data>
    <tabular pivotCacheId="1252155986">
      <items count="7">
        <i x="4" s="1"/>
        <i x="1" s="1"/>
        <i x="5" s="1"/>
        <i x="2" s="1"/>
        <i x="3"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Archetype" xr10:uid="{F50482E5-2AFD-4342-9992-EC25A180ABBA}" cache="Slicer_Product_Archetype" caption="Product Archetype" rowHeight="234950"/>
  <slicer name="Category" xr10:uid="{72B216FA-3DBF-42BE-9B0F-C1A8CD969E0E}"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753A44-3BE4-458E-AA1B-D46015B8CB37}" name="Table2" displayName="Table2" ref="I21:L26" totalsRowShown="0" headerRowDxfId="12" headerRowBorderDxfId="11" tableBorderDxfId="10" totalsRowBorderDxfId="9">
  <autoFilter ref="I21:L26" xr:uid="{5F753A44-3BE4-458E-AA1B-D46015B8CB37}"/>
  <tableColumns count="4">
    <tableColumn id="1" xr3:uid="{07EA97B2-4941-4425-8300-331BFD81C9DB}" name="Archetype Category" dataDxfId="8"/>
    <tableColumn id="2" xr3:uid="{F09394DD-1BB8-4AB4-A6A0-79B86F85037C}" name="SKU Count" dataDxfId="7"/>
    <tableColumn id="3" xr3:uid="{6077A9F1-F012-4FD8-9B3B-952339B5EA38}" name="% of Portfolio" dataDxfId="6"/>
    <tableColumn id="4" xr3:uid="{77C26535-9CC8-4115-964D-AF2F023F1B5A}" name="Strategic Action" dataDxfId="5"/>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A239B8-42A1-4745-9C7E-86AA81AEC626}" name="Table4" displayName="Table4" ref="G31:N36" totalsRowShown="0">
  <autoFilter ref="G31:N36" xr:uid="{FEA239B8-42A1-4745-9C7E-86AA81AEC626}"/>
  <tableColumns count="8">
    <tableColumn id="1" xr3:uid="{929845EC-9B85-4260-996D-46212C944F56}" name="SKU ID"/>
    <tableColumn id="2" xr3:uid="{42641E62-42FF-4B05-9DE5-374D6069AB62}" name="Product Name"/>
    <tableColumn id="3" xr3:uid="{0B82B448-709A-4AB2-B16F-0DC8FF9FED3D}" name="Net Sales"/>
    <tableColumn id="4" xr3:uid="{2A4C7114-2B93-46B0-BAC9-DBCEF8044DA7}" name="Effective Margin %" dataDxfId="4"/>
    <tableColumn id="5" xr3:uid="{E928C61E-AA7D-4ADD-82BE-D2E6E4D15BF1}" name="Return Rate %" dataDxfId="3"/>
    <tableColumn id="6" xr3:uid="{39F9BA84-5177-4A48-B303-E324FF823AF1}" name="Rating"/>
    <tableColumn id="7" xr3:uid="{8A8BE243-CF46-4F8E-AB74-CD48AD95EA6E}" name="ROAS"/>
    <tableColumn id="8" xr3:uid="{18960895-5BF7-4348-B2B8-BDCFF7CB34C8}" name="Archetype"/>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80542-BF64-4060-AB04-AA95801E9DDB}">
  <dimension ref="A1:Y501"/>
  <sheetViews>
    <sheetView topLeftCell="N1" zoomScale="78" workbookViewId="0">
      <selection activeCell="L1" sqref="L1:L1048576"/>
    </sheetView>
  </sheetViews>
  <sheetFormatPr defaultRowHeight="14.4" x14ac:dyDescent="0.3"/>
  <cols>
    <col min="4" max="4" width="10.33203125" bestFit="1" customWidth="1"/>
    <col min="5" max="5" width="9" bestFit="1" customWidth="1"/>
    <col min="7" max="9" width="9" bestFit="1" customWidth="1"/>
    <col min="10" max="10" width="9.77734375" bestFit="1" customWidth="1"/>
    <col min="11" max="11" width="13.6640625" bestFit="1" customWidth="1"/>
    <col min="12" max="12" width="15.5546875" bestFit="1" customWidth="1"/>
    <col min="13" max="14" width="13.6640625" bestFit="1" customWidth="1"/>
    <col min="15" max="15" width="13.21875" bestFit="1" customWidth="1"/>
    <col min="16" max="16" width="18.77734375" bestFit="1" customWidth="1"/>
    <col min="17" max="17" width="14.5546875" bestFit="1" customWidth="1"/>
    <col min="18" max="18" width="19" bestFit="1" customWidth="1"/>
    <col min="19" max="19" width="14.21875" bestFit="1" customWidth="1"/>
    <col min="20" max="20" width="12.33203125" bestFit="1" customWidth="1"/>
    <col min="21" max="21" width="9.6640625" bestFit="1" customWidth="1"/>
    <col min="22" max="22" width="14.88671875" bestFit="1" customWidth="1"/>
    <col min="23" max="23" width="17" bestFit="1" customWidth="1"/>
    <col min="24" max="24" width="9.109375" bestFit="1" customWidth="1"/>
    <col min="25" max="25" width="17"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t="s">
        <v>25</v>
      </c>
      <c r="B2" t="s">
        <v>26</v>
      </c>
      <c r="C2" t="s">
        <v>27</v>
      </c>
      <c r="D2" s="1">
        <v>45017</v>
      </c>
      <c r="E2">
        <v>730</v>
      </c>
      <c r="F2" t="s">
        <v>28</v>
      </c>
      <c r="G2">
        <v>4999</v>
      </c>
      <c r="H2">
        <v>2749</v>
      </c>
      <c r="I2">
        <v>35000</v>
      </c>
      <c r="J2">
        <v>52562</v>
      </c>
      <c r="K2">
        <v>262757438</v>
      </c>
      <c r="L2">
        <v>19703806</v>
      </c>
      <c r="M2">
        <v>243053632</v>
      </c>
      <c r="N2">
        <v>144492938</v>
      </c>
      <c r="O2">
        <v>98560694</v>
      </c>
      <c r="P2">
        <v>40.549999999999997</v>
      </c>
      <c r="Q2">
        <v>715</v>
      </c>
      <c r="R2">
        <v>3216785</v>
      </c>
      <c r="S2">
        <v>2.04</v>
      </c>
      <c r="T2">
        <v>13949</v>
      </c>
      <c r="U2">
        <v>4.66</v>
      </c>
      <c r="V2">
        <v>799992</v>
      </c>
      <c r="W2">
        <v>7587293</v>
      </c>
      <c r="X2">
        <v>9.48</v>
      </c>
      <c r="Y2" t="s">
        <v>29</v>
      </c>
    </row>
    <row r="3" spans="1:25" x14ac:dyDescent="0.3">
      <c r="A3" t="s">
        <v>30</v>
      </c>
      <c r="B3" t="s">
        <v>31</v>
      </c>
      <c r="C3" t="s">
        <v>32</v>
      </c>
      <c r="D3" s="1">
        <v>45078</v>
      </c>
      <c r="E3">
        <v>669</v>
      </c>
      <c r="F3" t="s">
        <v>28</v>
      </c>
      <c r="G3">
        <v>1499</v>
      </c>
      <c r="H3">
        <v>1380</v>
      </c>
      <c r="I3">
        <v>85000</v>
      </c>
      <c r="J3">
        <v>127598</v>
      </c>
      <c r="K3">
        <v>191269402</v>
      </c>
      <c r="L3">
        <v>66880664</v>
      </c>
      <c r="M3">
        <v>124388738</v>
      </c>
      <c r="N3">
        <v>176085240</v>
      </c>
      <c r="O3">
        <v>-51696502</v>
      </c>
      <c r="P3">
        <v>-41.56</v>
      </c>
      <c r="Q3">
        <v>15401</v>
      </c>
      <c r="R3">
        <v>20775949</v>
      </c>
      <c r="S3">
        <v>18.12</v>
      </c>
      <c r="T3">
        <v>33757</v>
      </c>
      <c r="U3">
        <v>3.2</v>
      </c>
      <c r="V3">
        <v>2499992</v>
      </c>
      <c r="W3">
        <v>3821487</v>
      </c>
      <c r="X3">
        <v>1.53</v>
      </c>
      <c r="Y3" t="s">
        <v>33</v>
      </c>
    </row>
    <row r="4" spans="1:25" x14ac:dyDescent="0.3">
      <c r="A4" t="s">
        <v>34</v>
      </c>
      <c r="B4" t="s">
        <v>35</v>
      </c>
      <c r="C4" t="s">
        <v>36</v>
      </c>
      <c r="D4" s="1">
        <v>45139</v>
      </c>
      <c r="E4">
        <v>608</v>
      </c>
      <c r="F4" t="s">
        <v>28</v>
      </c>
      <c r="G4">
        <v>2499</v>
      </c>
      <c r="H4">
        <v>1199</v>
      </c>
      <c r="I4">
        <v>7000</v>
      </c>
      <c r="J4">
        <v>10540</v>
      </c>
      <c r="K4">
        <v>26339460</v>
      </c>
      <c r="L4">
        <v>1319021</v>
      </c>
      <c r="M4">
        <v>25020439</v>
      </c>
      <c r="N4">
        <v>12637460</v>
      </c>
      <c r="O4">
        <v>12382979</v>
      </c>
      <c r="P4">
        <v>49.49</v>
      </c>
      <c r="Q4">
        <v>212</v>
      </c>
      <c r="R4">
        <v>476788</v>
      </c>
      <c r="S4">
        <v>3.03</v>
      </c>
      <c r="T4">
        <v>2846</v>
      </c>
      <c r="U4">
        <v>4.5599999999999996</v>
      </c>
      <c r="V4">
        <v>40000</v>
      </c>
      <c r="W4">
        <v>169845</v>
      </c>
      <c r="X4">
        <v>4.25</v>
      </c>
      <c r="Y4" t="s">
        <v>29</v>
      </c>
    </row>
    <row r="5" spans="1:25" x14ac:dyDescent="0.3">
      <c r="A5" t="s">
        <v>37</v>
      </c>
      <c r="B5" t="s">
        <v>38</v>
      </c>
      <c r="C5" t="s">
        <v>32</v>
      </c>
      <c r="D5" s="1">
        <v>45108</v>
      </c>
      <c r="E5">
        <v>639</v>
      </c>
      <c r="F5" t="s">
        <v>28</v>
      </c>
      <c r="G5">
        <v>799</v>
      </c>
      <c r="H5">
        <v>739</v>
      </c>
      <c r="I5">
        <v>4000</v>
      </c>
      <c r="J5">
        <v>5930</v>
      </c>
      <c r="K5">
        <v>4738070</v>
      </c>
      <c r="L5">
        <v>610530</v>
      </c>
      <c r="M5">
        <v>4127540</v>
      </c>
      <c r="N5">
        <v>4382270</v>
      </c>
      <c r="O5">
        <v>-254730</v>
      </c>
      <c r="P5">
        <v>-6.17</v>
      </c>
      <c r="Q5">
        <v>899</v>
      </c>
      <c r="R5">
        <v>646381</v>
      </c>
      <c r="S5">
        <v>22.48</v>
      </c>
      <c r="T5">
        <v>1629</v>
      </c>
      <c r="U5">
        <v>2.8</v>
      </c>
      <c r="V5">
        <v>350000</v>
      </c>
      <c r="W5">
        <v>183914</v>
      </c>
      <c r="X5">
        <v>0.53</v>
      </c>
      <c r="Y5" t="s">
        <v>39</v>
      </c>
    </row>
    <row r="6" spans="1:25" x14ac:dyDescent="0.3">
      <c r="A6" t="s">
        <v>40</v>
      </c>
      <c r="B6" t="s">
        <v>41</v>
      </c>
      <c r="C6" t="s">
        <v>42</v>
      </c>
      <c r="D6" s="1">
        <v>45698</v>
      </c>
      <c r="E6">
        <v>49</v>
      </c>
      <c r="F6" t="s">
        <v>43</v>
      </c>
      <c r="G6">
        <v>7999</v>
      </c>
      <c r="H6">
        <v>4200</v>
      </c>
      <c r="I6">
        <v>150</v>
      </c>
      <c r="J6">
        <v>229</v>
      </c>
      <c r="K6">
        <v>1831771</v>
      </c>
      <c r="L6">
        <v>48826</v>
      </c>
      <c r="M6">
        <v>1782945</v>
      </c>
      <c r="N6">
        <v>961800</v>
      </c>
      <c r="O6">
        <v>821145</v>
      </c>
      <c r="P6">
        <v>46.06</v>
      </c>
      <c r="Q6">
        <v>5</v>
      </c>
      <c r="R6">
        <v>35995</v>
      </c>
      <c r="S6">
        <v>3.33</v>
      </c>
      <c r="T6">
        <v>50</v>
      </c>
      <c r="U6">
        <v>4.26</v>
      </c>
      <c r="V6">
        <v>60000</v>
      </c>
      <c r="W6">
        <v>316098</v>
      </c>
      <c r="X6">
        <v>5.27</v>
      </c>
      <c r="Y6" t="s">
        <v>44</v>
      </c>
    </row>
    <row r="7" spans="1:25" x14ac:dyDescent="0.3">
      <c r="A7" t="s">
        <v>45</v>
      </c>
      <c r="B7" t="s">
        <v>46</v>
      </c>
      <c r="C7" t="s">
        <v>27</v>
      </c>
      <c r="D7" s="1">
        <v>45116</v>
      </c>
      <c r="E7">
        <v>631</v>
      </c>
      <c r="F7" t="s">
        <v>28</v>
      </c>
      <c r="G7">
        <v>3947</v>
      </c>
      <c r="H7">
        <v>3507</v>
      </c>
      <c r="I7">
        <v>183</v>
      </c>
      <c r="J7">
        <v>266</v>
      </c>
      <c r="K7">
        <v>1049902</v>
      </c>
      <c r="L7">
        <v>138052</v>
      </c>
      <c r="M7">
        <v>911850</v>
      </c>
      <c r="N7">
        <v>932862</v>
      </c>
      <c r="O7">
        <v>-21012</v>
      </c>
      <c r="P7">
        <v>-2.2999999999999998</v>
      </c>
      <c r="Q7">
        <v>10</v>
      </c>
      <c r="R7">
        <v>35520</v>
      </c>
      <c r="S7">
        <v>5.46</v>
      </c>
      <c r="T7">
        <v>78</v>
      </c>
      <c r="U7">
        <v>2.74</v>
      </c>
      <c r="V7">
        <v>476667</v>
      </c>
      <c r="W7">
        <v>1668577</v>
      </c>
      <c r="X7">
        <v>3.5</v>
      </c>
      <c r="Y7" t="s">
        <v>39</v>
      </c>
    </row>
    <row r="8" spans="1:25" x14ac:dyDescent="0.3">
      <c r="A8" t="s">
        <v>47</v>
      </c>
      <c r="B8" t="s">
        <v>48</v>
      </c>
      <c r="C8" t="s">
        <v>27</v>
      </c>
      <c r="D8" s="1">
        <v>44865</v>
      </c>
      <c r="E8">
        <v>882</v>
      </c>
      <c r="F8" t="s">
        <v>28</v>
      </c>
      <c r="G8">
        <v>19648</v>
      </c>
      <c r="H8">
        <v>13952</v>
      </c>
      <c r="I8">
        <v>56</v>
      </c>
      <c r="J8">
        <v>81</v>
      </c>
      <c r="K8">
        <v>1591488</v>
      </c>
      <c r="L8">
        <v>223711</v>
      </c>
      <c r="M8">
        <v>1367777</v>
      </c>
      <c r="N8">
        <v>1130112</v>
      </c>
      <c r="O8">
        <v>237665</v>
      </c>
      <c r="P8">
        <v>17.38</v>
      </c>
      <c r="Q8">
        <v>4</v>
      </c>
      <c r="R8">
        <v>70732</v>
      </c>
      <c r="S8">
        <v>7.14</v>
      </c>
      <c r="T8">
        <v>22</v>
      </c>
      <c r="U8">
        <v>3.57</v>
      </c>
      <c r="V8">
        <v>156744</v>
      </c>
      <c r="W8">
        <v>1524033</v>
      </c>
      <c r="X8">
        <v>9.7200000000000006</v>
      </c>
      <c r="Y8" t="s">
        <v>39</v>
      </c>
    </row>
    <row r="9" spans="1:25" x14ac:dyDescent="0.3">
      <c r="A9" t="s">
        <v>49</v>
      </c>
      <c r="B9" t="s">
        <v>50</v>
      </c>
      <c r="C9" t="s">
        <v>27</v>
      </c>
      <c r="D9" s="1">
        <v>45438</v>
      </c>
      <c r="E9">
        <v>309</v>
      </c>
      <c r="F9" t="s">
        <v>28</v>
      </c>
      <c r="G9">
        <v>14045</v>
      </c>
      <c r="H9">
        <v>11247</v>
      </c>
      <c r="I9">
        <v>60</v>
      </c>
      <c r="J9">
        <v>90</v>
      </c>
      <c r="K9">
        <v>1264050</v>
      </c>
      <c r="L9">
        <v>177493</v>
      </c>
      <c r="M9">
        <v>1086557</v>
      </c>
      <c r="N9">
        <v>1012230</v>
      </c>
      <c r="O9">
        <v>74327</v>
      </c>
      <c r="P9">
        <v>6.84</v>
      </c>
      <c r="Q9">
        <v>1</v>
      </c>
      <c r="R9">
        <v>12640</v>
      </c>
      <c r="S9">
        <v>1.67</v>
      </c>
      <c r="T9">
        <v>22</v>
      </c>
      <c r="U9">
        <v>3.34</v>
      </c>
      <c r="V9">
        <v>327696</v>
      </c>
      <c r="W9">
        <v>7540053</v>
      </c>
      <c r="X9">
        <v>23.01</v>
      </c>
      <c r="Y9" t="s">
        <v>39</v>
      </c>
    </row>
    <row r="10" spans="1:25" x14ac:dyDescent="0.3">
      <c r="A10" t="s">
        <v>51</v>
      </c>
      <c r="B10" t="s">
        <v>52</v>
      </c>
      <c r="C10" t="s">
        <v>27</v>
      </c>
      <c r="D10" s="1">
        <v>45616</v>
      </c>
      <c r="E10">
        <v>131</v>
      </c>
      <c r="F10" t="s">
        <v>28</v>
      </c>
      <c r="G10">
        <v>9404</v>
      </c>
      <c r="H10">
        <v>7805</v>
      </c>
      <c r="I10">
        <v>72</v>
      </c>
      <c r="J10">
        <v>108</v>
      </c>
      <c r="K10">
        <v>1015632</v>
      </c>
      <c r="L10">
        <v>170823</v>
      </c>
      <c r="M10">
        <v>844809</v>
      </c>
      <c r="N10">
        <v>842940</v>
      </c>
      <c r="O10">
        <v>1869</v>
      </c>
      <c r="P10">
        <v>0.22</v>
      </c>
      <c r="Q10">
        <v>0</v>
      </c>
      <c r="R10">
        <v>0</v>
      </c>
      <c r="S10">
        <v>0</v>
      </c>
      <c r="T10">
        <v>30</v>
      </c>
      <c r="U10">
        <v>3.2</v>
      </c>
      <c r="V10">
        <v>537298</v>
      </c>
      <c r="W10">
        <v>7761809</v>
      </c>
      <c r="X10">
        <v>14.45</v>
      </c>
      <c r="Y10" t="s">
        <v>39</v>
      </c>
    </row>
    <row r="11" spans="1:25" x14ac:dyDescent="0.3">
      <c r="A11" t="s">
        <v>53</v>
      </c>
      <c r="B11" t="s">
        <v>54</v>
      </c>
      <c r="C11" t="s">
        <v>27</v>
      </c>
      <c r="D11" s="1">
        <v>45222</v>
      </c>
      <c r="E11">
        <v>525</v>
      </c>
      <c r="F11" t="s">
        <v>28</v>
      </c>
      <c r="G11">
        <v>15353</v>
      </c>
      <c r="H11">
        <v>10112</v>
      </c>
      <c r="I11">
        <v>75</v>
      </c>
      <c r="J11">
        <v>109</v>
      </c>
      <c r="K11">
        <v>1673477</v>
      </c>
      <c r="L11">
        <v>242107</v>
      </c>
      <c r="M11">
        <v>1431370</v>
      </c>
      <c r="N11">
        <v>1102208</v>
      </c>
      <c r="O11">
        <v>329162</v>
      </c>
      <c r="P11">
        <v>23</v>
      </c>
      <c r="Q11">
        <v>6</v>
      </c>
      <c r="R11">
        <v>82902</v>
      </c>
      <c r="S11">
        <v>8</v>
      </c>
      <c r="T11">
        <v>29</v>
      </c>
      <c r="U11">
        <v>3.86</v>
      </c>
      <c r="V11">
        <v>185696</v>
      </c>
      <c r="W11">
        <v>3276269</v>
      </c>
      <c r="X11">
        <v>17.64</v>
      </c>
      <c r="Y11" t="s">
        <v>39</v>
      </c>
    </row>
    <row r="12" spans="1:25" x14ac:dyDescent="0.3">
      <c r="A12" t="s">
        <v>55</v>
      </c>
      <c r="B12" t="s">
        <v>56</v>
      </c>
      <c r="C12" t="s">
        <v>27</v>
      </c>
      <c r="D12" s="1">
        <v>45626</v>
      </c>
      <c r="E12">
        <v>121</v>
      </c>
      <c r="F12" t="s">
        <v>28</v>
      </c>
      <c r="G12">
        <v>1800</v>
      </c>
      <c r="H12">
        <v>1084</v>
      </c>
      <c r="I12">
        <v>132</v>
      </c>
      <c r="J12">
        <v>195</v>
      </c>
      <c r="K12">
        <v>351000</v>
      </c>
      <c r="L12">
        <v>59333</v>
      </c>
      <c r="M12">
        <v>291667</v>
      </c>
      <c r="N12">
        <v>211380</v>
      </c>
      <c r="O12">
        <v>80287</v>
      </c>
      <c r="P12">
        <v>27.53</v>
      </c>
      <c r="Q12">
        <v>6</v>
      </c>
      <c r="R12">
        <v>9720</v>
      </c>
      <c r="S12">
        <v>4.55</v>
      </c>
      <c r="T12">
        <v>58</v>
      </c>
      <c r="U12">
        <v>4.04</v>
      </c>
      <c r="V12">
        <v>183686</v>
      </c>
      <c r="W12">
        <v>238670</v>
      </c>
      <c r="X12">
        <v>1.3</v>
      </c>
      <c r="Y12" t="s">
        <v>29</v>
      </c>
    </row>
    <row r="13" spans="1:25" x14ac:dyDescent="0.3">
      <c r="A13" t="s">
        <v>57</v>
      </c>
      <c r="B13" t="s">
        <v>58</v>
      </c>
      <c r="C13" t="s">
        <v>27</v>
      </c>
      <c r="D13" s="1">
        <v>45198</v>
      </c>
      <c r="E13">
        <v>549</v>
      </c>
      <c r="F13" t="s">
        <v>28</v>
      </c>
      <c r="G13">
        <v>12253</v>
      </c>
      <c r="H13">
        <v>10130</v>
      </c>
      <c r="I13">
        <v>44</v>
      </c>
      <c r="J13">
        <v>68</v>
      </c>
      <c r="K13">
        <v>833204</v>
      </c>
      <c r="L13">
        <v>112962</v>
      </c>
      <c r="M13">
        <v>720242</v>
      </c>
      <c r="N13">
        <v>688840</v>
      </c>
      <c r="O13">
        <v>31402</v>
      </c>
      <c r="P13">
        <v>4.3600000000000003</v>
      </c>
      <c r="Q13">
        <v>2</v>
      </c>
      <c r="R13">
        <v>22054</v>
      </c>
      <c r="S13">
        <v>4.55</v>
      </c>
      <c r="T13">
        <v>21</v>
      </c>
      <c r="U13">
        <v>2.98</v>
      </c>
      <c r="V13">
        <v>258319</v>
      </c>
      <c r="W13">
        <v>4999388</v>
      </c>
      <c r="X13">
        <v>19.350000000000001</v>
      </c>
      <c r="Y13" t="s">
        <v>39</v>
      </c>
    </row>
    <row r="14" spans="1:25" x14ac:dyDescent="0.3">
      <c r="A14" t="s">
        <v>59</v>
      </c>
      <c r="B14" t="s">
        <v>60</v>
      </c>
      <c r="C14" t="s">
        <v>27</v>
      </c>
      <c r="D14" s="1">
        <v>45002</v>
      </c>
      <c r="E14">
        <v>745</v>
      </c>
      <c r="F14" t="s">
        <v>28</v>
      </c>
      <c r="G14">
        <v>17801</v>
      </c>
      <c r="H14">
        <v>10180</v>
      </c>
      <c r="I14">
        <v>27</v>
      </c>
      <c r="J14">
        <v>42</v>
      </c>
      <c r="K14">
        <v>747642</v>
      </c>
      <c r="L14">
        <v>125928</v>
      </c>
      <c r="M14">
        <v>621714</v>
      </c>
      <c r="N14">
        <v>427560</v>
      </c>
      <c r="O14">
        <v>194154</v>
      </c>
      <c r="P14">
        <v>31.23</v>
      </c>
      <c r="Q14">
        <v>2</v>
      </c>
      <c r="R14">
        <v>32040</v>
      </c>
      <c r="S14">
        <v>7.41</v>
      </c>
      <c r="T14">
        <v>10</v>
      </c>
      <c r="U14">
        <v>4.4000000000000004</v>
      </c>
      <c r="V14">
        <v>88296</v>
      </c>
      <c r="W14">
        <v>1538469</v>
      </c>
      <c r="X14">
        <v>17.420000000000002</v>
      </c>
      <c r="Y14" t="s">
        <v>61</v>
      </c>
    </row>
    <row r="15" spans="1:25" x14ac:dyDescent="0.3">
      <c r="A15" t="s">
        <v>62</v>
      </c>
      <c r="B15" t="s">
        <v>63</v>
      </c>
      <c r="C15" t="s">
        <v>27</v>
      </c>
      <c r="D15" s="1">
        <v>44867</v>
      </c>
      <c r="E15">
        <v>880</v>
      </c>
      <c r="F15" t="s">
        <v>28</v>
      </c>
      <c r="G15">
        <v>2131</v>
      </c>
      <c r="H15">
        <v>1698</v>
      </c>
      <c r="I15">
        <v>115</v>
      </c>
      <c r="J15">
        <v>171</v>
      </c>
      <c r="K15">
        <v>364401</v>
      </c>
      <c r="L15">
        <v>62536</v>
      </c>
      <c r="M15">
        <v>301865</v>
      </c>
      <c r="N15">
        <v>290358</v>
      </c>
      <c r="O15">
        <v>11507</v>
      </c>
      <c r="P15">
        <v>3.81</v>
      </c>
      <c r="Q15">
        <v>4</v>
      </c>
      <c r="R15">
        <v>7668</v>
      </c>
      <c r="S15">
        <v>3.48</v>
      </c>
      <c r="T15">
        <v>43</v>
      </c>
      <c r="U15">
        <v>3.42</v>
      </c>
      <c r="V15">
        <v>363757</v>
      </c>
      <c r="W15">
        <v>858406</v>
      </c>
      <c r="X15">
        <v>2.36</v>
      </c>
      <c r="Y15" t="s">
        <v>39</v>
      </c>
    </row>
    <row r="16" spans="1:25" x14ac:dyDescent="0.3">
      <c r="A16" t="s">
        <v>64</v>
      </c>
      <c r="B16" t="s">
        <v>65</v>
      </c>
      <c r="C16" t="s">
        <v>27</v>
      </c>
      <c r="D16" s="1">
        <v>45493</v>
      </c>
      <c r="E16">
        <v>254</v>
      </c>
      <c r="F16" t="s">
        <v>28</v>
      </c>
      <c r="G16">
        <v>13263</v>
      </c>
      <c r="H16">
        <v>6656</v>
      </c>
      <c r="I16">
        <v>46</v>
      </c>
      <c r="J16">
        <v>71</v>
      </c>
      <c r="K16">
        <v>941673</v>
      </c>
      <c r="L16">
        <v>155256</v>
      </c>
      <c r="M16">
        <v>786417</v>
      </c>
      <c r="N16">
        <v>472576</v>
      </c>
      <c r="O16">
        <v>313841</v>
      </c>
      <c r="P16">
        <v>39.909999999999997</v>
      </c>
      <c r="Q16">
        <v>2</v>
      </c>
      <c r="R16">
        <v>23872</v>
      </c>
      <c r="S16">
        <v>4.3499999999999996</v>
      </c>
      <c r="T16">
        <v>24</v>
      </c>
      <c r="U16">
        <v>4.29</v>
      </c>
      <c r="V16">
        <v>400002</v>
      </c>
      <c r="W16">
        <v>4793124</v>
      </c>
      <c r="X16">
        <v>11.98</v>
      </c>
      <c r="Y16" t="s">
        <v>29</v>
      </c>
    </row>
    <row r="17" spans="1:25" x14ac:dyDescent="0.3">
      <c r="A17" t="s">
        <v>66</v>
      </c>
      <c r="B17" t="s">
        <v>67</v>
      </c>
      <c r="C17" t="s">
        <v>27</v>
      </c>
      <c r="D17" s="1">
        <v>45243</v>
      </c>
      <c r="E17">
        <v>504</v>
      </c>
      <c r="F17" t="s">
        <v>28</v>
      </c>
      <c r="G17">
        <v>14337</v>
      </c>
      <c r="H17">
        <v>7110</v>
      </c>
      <c r="I17">
        <v>25</v>
      </c>
      <c r="J17">
        <v>34</v>
      </c>
      <c r="K17">
        <v>487458</v>
      </c>
      <c r="L17">
        <v>69455</v>
      </c>
      <c r="M17">
        <v>418003</v>
      </c>
      <c r="N17">
        <v>241740</v>
      </c>
      <c r="O17">
        <v>176263</v>
      </c>
      <c r="P17">
        <v>42.17</v>
      </c>
      <c r="Q17">
        <v>1</v>
      </c>
      <c r="R17">
        <v>12903</v>
      </c>
      <c r="S17">
        <v>4</v>
      </c>
      <c r="T17">
        <v>10</v>
      </c>
      <c r="U17">
        <v>4.3</v>
      </c>
      <c r="V17">
        <v>672573</v>
      </c>
      <c r="W17">
        <v>8342599</v>
      </c>
      <c r="X17">
        <v>12.4</v>
      </c>
      <c r="Y17" t="s">
        <v>29</v>
      </c>
    </row>
    <row r="18" spans="1:25" x14ac:dyDescent="0.3">
      <c r="A18" t="s">
        <v>68</v>
      </c>
      <c r="B18" t="s">
        <v>69</v>
      </c>
      <c r="C18" t="s">
        <v>27</v>
      </c>
      <c r="D18" s="1">
        <v>44998</v>
      </c>
      <c r="E18">
        <v>749</v>
      </c>
      <c r="F18" t="s">
        <v>28</v>
      </c>
      <c r="G18">
        <v>3891</v>
      </c>
      <c r="H18">
        <v>3234</v>
      </c>
      <c r="I18">
        <v>160</v>
      </c>
      <c r="J18">
        <v>243</v>
      </c>
      <c r="K18">
        <v>945513</v>
      </c>
      <c r="L18">
        <v>111265</v>
      </c>
      <c r="M18">
        <v>834248</v>
      </c>
      <c r="N18">
        <v>785862</v>
      </c>
      <c r="O18">
        <v>48386</v>
      </c>
      <c r="P18">
        <v>5.8</v>
      </c>
      <c r="Q18">
        <v>15</v>
      </c>
      <c r="R18">
        <v>52515</v>
      </c>
      <c r="S18">
        <v>9.3800000000000008</v>
      </c>
      <c r="T18">
        <v>65</v>
      </c>
      <c r="U18">
        <v>3.21</v>
      </c>
      <c r="V18">
        <v>645682</v>
      </c>
      <c r="W18">
        <v>2385964</v>
      </c>
      <c r="X18">
        <v>3.7</v>
      </c>
      <c r="Y18" t="s">
        <v>39</v>
      </c>
    </row>
    <row r="19" spans="1:25" x14ac:dyDescent="0.3">
      <c r="A19" t="s">
        <v>70</v>
      </c>
      <c r="B19" t="s">
        <v>71</v>
      </c>
      <c r="C19" t="s">
        <v>27</v>
      </c>
      <c r="D19" s="1">
        <v>44846</v>
      </c>
      <c r="E19">
        <v>901</v>
      </c>
      <c r="F19" t="s">
        <v>28</v>
      </c>
      <c r="G19">
        <v>8537</v>
      </c>
      <c r="H19">
        <v>3952</v>
      </c>
      <c r="I19">
        <v>40</v>
      </c>
      <c r="J19">
        <v>61</v>
      </c>
      <c r="K19">
        <v>520757</v>
      </c>
      <c r="L19">
        <v>68688</v>
      </c>
      <c r="M19">
        <v>452069</v>
      </c>
      <c r="N19">
        <v>241072</v>
      </c>
      <c r="O19">
        <v>210997</v>
      </c>
      <c r="P19">
        <v>46.67</v>
      </c>
      <c r="Q19">
        <v>0</v>
      </c>
      <c r="R19">
        <v>0</v>
      </c>
      <c r="S19">
        <v>0</v>
      </c>
      <c r="T19">
        <v>14</v>
      </c>
      <c r="U19">
        <v>4.46</v>
      </c>
      <c r="V19">
        <v>334325</v>
      </c>
      <c r="W19">
        <v>3173992</v>
      </c>
      <c r="X19">
        <v>9.49</v>
      </c>
      <c r="Y19" t="s">
        <v>39</v>
      </c>
    </row>
    <row r="20" spans="1:25" x14ac:dyDescent="0.3">
      <c r="A20" t="s">
        <v>72</v>
      </c>
      <c r="B20" t="s">
        <v>73</v>
      </c>
      <c r="C20" t="s">
        <v>27</v>
      </c>
      <c r="D20" s="1">
        <v>44996</v>
      </c>
      <c r="E20">
        <v>751</v>
      </c>
      <c r="F20" t="s">
        <v>28</v>
      </c>
      <c r="G20">
        <v>3954</v>
      </c>
      <c r="H20">
        <v>3036</v>
      </c>
      <c r="I20">
        <v>137</v>
      </c>
      <c r="J20">
        <v>199</v>
      </c>
      <c r="K20">
        <v>786846</v>
      </c>
      <c r="L20">
        <v>135225</v>
      </c>
      <c r="M20">
        <v>651621</v>
      </c>
      <c r="N20">
        <v>604164</v>
      </c>
      <c r="O20">
        <v>47457</v>
      </c>
      <c r="P20">
        <v>7.28</v>
      </c>
      <c r="Q20">
        <v>7</v>
      </c>
      <c r="R20">
        <v>24906</v>
      </c>
      <c r="S20">
        <v>5.1100000000000003</v>
      </c>
      <c r="T20">
        <v>63</v>
      </c>
      <c r="U20">
        <v>3.52</v>
      </c>
      <c r="V20">
        <v>601188</v>
      </c>
      <c r="W20">
        <v>1458337</v>
      </c>
      <c r="X20">
        <v>2.4300000000000002</v>
      </c>
      <c r="Y20" t="s">
        <v>39</v>
      </c>
    </row>
    <row r="21" spans="1:25" x14ac:dyDescent="0.3">
      <c r="A21" t="s">
        <v>74</v>
      </c>
      <c r="B21" t="s">
        <v>75</v>
      </c>
      <c r="C21" t="s">
        <v>27</v>
      </c>
      <c r="D21" s="1">
        <v>45475</v>
      </c>
      <c r="E21">
        <v>272</v>
      </c>
      <c r="F21" t="s">
        <v>28</v>
      </c>
      <c r="G21">
        <v>16934</v>
      </c>
      <c r="H21">
        <v>8286</v>
      </c>
      <c r="I21">
        <v>78</v>
      </c>
      <c r="J21">
        <v>112</v>
      </c>
      <c r="K21">
        <v>1896608</v>
      </c>
      <c r="L21">
        <v>261163</v>
      </c>
      <c r="M21">
        <v>1635445</v>
      </c>
      <c r="N21">
        <v>928032</v>
      </c>
      <c r="O21">
        <v>707413</v>
      </c>
      <c r="P21">
        <v>43.26</v>
      </c>
      <c r="Q21">
        <v>5</v>
      </c>
      <c r="R21">
        <v>76200</v>
      </c>
      <c r="S21">
        <v>6.41</v>
      </c>
      <c r="T21">
        <v>28</v>
      </c>
      <c r="U21">
        <v>4.55</v>
      </c>
      <c r="V21">
        <v>346483</v>
      </c>
      <c r="W21">
        <v>6619773</v>
      </c>
      <c r="X21">
        <v>19.11</v>
      </c>
      <c r="Y21" t="s">
        <v>39</v>
      </c>
    </row>
    <row r="22" spans="1:25" x14ac:dyDescent="0.3">
      <c r="A22" t="s">
        <v>76</v>
      </c>
      <c r="B22" t="s">
        <v>77</v>
      </c>
      <c r="C22" t="s">
        <v>27</v>
      </c>
      <c r="D22" s="1">
        <v>45378</v>
      </c>
      <c r="E22">
        <v>369</v>
      </c>
      <c r="F22" t="s">
        <v>28</v>
      </c>
      <c r="G22">
        <v>17973</v>
      </c>
      <c r="H22">
        <v>8463</v>
      </c>
      <c r="I22">
        <v>39</v>
      </c>
      <c r="J22">
        <v>56</v>
      </c>
      <c r="K22">
        <v>1006488</v>
      </c>
      <c r="L22">
        <v>147401</v>
      </c>
      <c r="M22">
        <v>859087</v>
      </c>
      <c r="N22">
        <v>473928</v>
      </c>
      <c r="O22">
        <v>385159</v>
      </c>
      <c r="P22">
        <v>44.83</v>
      </c>
      <c r="Q22">
        <v>4</v>
      </c>
      <c r="R22">
        <v>64700</v>
      </c>
      <c r="S22">
        <v>10.26</v>
      </c>
      <c r="T22">
        <v>18</v>
      </c>
      <c r="U22">
        <v>4.6399999999999997</v>
      </c>
      <c r="V22">
        <v>279327</v>
      </c>
      <c r="W22">
        <v>5711704</v>
      </c>
      <c r="X22">
        <v>20.45</v>
      </c>
      <c r="Y22" t="s">
        <v>39</v>
      </c>
    </row>
    <row r="23" spans="1:25" x14ac:dyDescent="0.3">
      <c r="A23" t="s">
        <v>78</v>
      </c>
      <c r="B23" t="s">
        <v>79</v>
      </c>
      <c r="C23" t="s">
        <v>27</v>
      </c>
      <c r="D23" s="1">
        <v>45415</v>
      </c>
      <c r="E23">
        <v>332</v>
      </c>
      <c r="F23" t="s">
        <v>28</v>
      </c>
      <c r="G23">
        <v>8145</v>
      </c>
      <c r="H23">
        <v>7118</v>
      </c>
      <c r="I23">
        <v>52</v>
      </c>
      <c r="J23">
        <v>81</v>
      </c>
      <c r="K23">
        <v>659745</v>
      </c>
      <c r="L23">
        <v>68608</v>
      </c>
      <c r="M23">
        <v>591137</v>
      </c>
      <c r="N23">
        <v>576558</v>
      </c>
      <c r="O23">
        <v>14579</v>
      </c>
      <c r="P23">
        <v>2.4700000000000002</v>
      </c>
      <c r="Q23">
        <v>1</v>
      </c>
      <c r="R23">
        <v>7330</v>
      </c>
      <c r="S23">
        <v>1.92</v>
      </c>
      <c r="T23">
        <v>26</v>
      </c>
      <c r="U23">
        <v>3.25</v>
      </c>
      <c r="V23">
        <v>101759</v>
      </c>
      <c r="W23">
        <v>1068944</v>
      </c>
      <c r="X23">
        <v>10.5</v>
      </c>
      <c r="Y23" t="s">
        <v>39</v>
      </c>
    </row>
    <row r="24" spans="1:25" x14ac:dyDescent="0.3">
      <c r="A24" t="s">
        <v>80</v>
      </c>
      <c r="B24" t="s">
        <v>81</v>
      </c>
      <c r="C24" t="s">
        <v>27</v>
      </c>
      <c r="D24" s="1">
        <v>45321</v>
      </c>
      <c r="E24">
        <v>426</v>
      </c>
      <c r="F24" t="s">
        <v>28</v>
      </c>
      <c r="G24">
        <v>4419</v>
      </c>
      <c r="H24">
        <v>3721</v>
      </c>
      <c r="I24">
        <v>151</v>
      </c>
      <c r="J24">
        <v>227</v>
      </c>
      <c r="K24">
        <v>1003113</v>
      </c>
      <c r="L24">
        <v>173953</v>
      </c>
      <c r="M24">
        <v>829160</v>
      </c>
      <c r="N24">
        <v>844667</v>
      </c>
      <c r="O24">
        <v>-15507</v>
      </c>
      <c r="P24">
        <v>-1.87</v>
      </c>
      <c r="Q24">
        <v>21</v>
      </c>
      <c r="R24">
        <v>83517</v>
      </c>
      <c r="S24">
        <v>13.91</v>
      </c>
      <c r="T24">
        <v>63</v>
      </c>
      <c r="U24">
        <v>2.89</v>
      </c>
      <c r="V24">
        <v>81301</v>
      </c>
      <c r="W24">
        <v>438138</v>
      </c>
      <c r="X24">
        <v>5.39</v>
      </c>
      <c r="Y24" t="s">
        <v>39</v>
      </c>
    </row>
    <row r="25" spans="1:25" x14ac:dyDescent="0.3">
      <c r="A25" t="s">
        <v>82</v>
      </c>
      <c r="B25" t="s">
        <v>83</v>
      </c>
      <c r="C25" t="s">
        <v>27</v>
      </c>
      <c r="D25" s="1">
        <v>45541</v>
      </c>
      <c r="E25">
        <v>206</v>
      </c>
      <c r="F25" t="s">
        <v>28</v>
      </c>
      <c r="G25">
        <v>17970</v>
      </c>
      <c r="H25">
        <v>10065</v>
      </c>
      <c r="I25">
        <v>88</v>
      </c>
      <c r="J25">
        <v>130</v>
      </c>
      <c r="K25">
        <v>2336100</v>
      </c>
      <c r="L25">
        <v>376883</v>
      </c>
      <c r="M25">
        <v>1959217</v>
      </c>
      <c r="N25">
        <v>1308450</v>
      </c>
      <c r="O25">
        <v>650767</v>
      </c>
      <c r="P25">
        <v>33.22</v>
      </c>
      <c r="Q25">
        <v>2</v>
      </c>
      <c r="R25">
        <v>32346</v>
      </c>
      <c r="S25">
        <v>2.27</v>
      </c>
      <c r="T25">
        <v>38</v>
      </c>
      <c r="U25">
        <v>4.25</v>
      </c>
      <c r="V25">
        <v>238446</v>
      </c>
      <c r="W25">
        <v>4276178</v>
      </c>
      <c r="X25">
        <v>17.93</v>
      </c>
      <c r="Y25" t="s">
        <v>29</v>
      </c>
    </row>
    <row r="26" spans="1:25" x14ac:dyDescent="0.3">
      <c r="A26" t="s">
        <v>84</v>
      </c>
      <c r="B26" t="s">
        <v>85</v>
      </c>
      <c r="C26" t="s">
        <v>27</v>
      </c>
      <c r="D26" s="1">
        <v>45065</v>
      </c>
      <c r="E26">
        <v>682</v>
      </c>
      <c r="F26" t="s">
        <v>28</v>
      </c>
      <c r="G26">
        <v>15093</v>
      </c>
      <c r="H26">
        <v>12761</v>
      </c>
      <c r="I26">
        <v>68</v>
      </c>
      <c r="J26">
        <v>106</v>
      </c>
      <c r="K26">
        <v>1599858</v>
      </c>
      <c r="L26">
        <v>288180</v>
      </c>
      <c r="M26">
        <v>1311678</v>
      </c>
      <c r="N26">
        <v>1352666</v>
      </c>
      <c r="O26">
        <v>-40988</v>
      </c>
      <c r="P26">
        <v>-3.12</v>
      </c>
      <c r="Q26">
        <v>7</v>
      </c>
      <c r="R26">
        <v>95081</v>
      </c>
      <c r="S26">
        <v>10.29</v>
      </c>
      <c r="T26">
        <v>19</v>
      </c>
      <c r="U26">
        <v>3</v>
      </c>
      <c r="V26">
        <v>144442</v>
      </c>
      <c r="W26">
        <v>3389001</v>
      </c>
      <c r="X26">
        <v>23.46</v>
      </c>
      <c r="Y26" t="s">
        <v>39</v>
      </c>
    </row>
    <row r="27" spans="1:25" x14ac:dyDescent="0.3">
      <c r="A27" t="s">
        <v>86</v>
      </c>
      <c r="B27" t="s">
        <v>87</v>
      </c>
      <c r="C27" t="s">
        <v>27</v>
      </c>
      <c r="D27" s="1">
        <v>44867</v>
      </c>
      <c r="E27">
        <v>880</v>
      </c>
      <c r="F27" t="s">
        <v>28</v>
      </c>
      <c r="G27">
        <v>2228</v>
      </c>
      <c r="H27">
        <v>1775</v>
      </c>
      <c r="I27">
        <v>79</v>
      </c>
      <c r="J27">
        <v>122</v>
      </c>
      <c r="K27">
        <v>271816</v>
      </c>
      <c r="L27">
        <v>50119</v>
      </c>
      <c r="M27">
        <v>221697</v>
      </c>
      <c r="N27">
        <v>216550</v>
      </c>
      <c r="O27">
        <v>5147</v>
      </c>
      <c r="P27">
        <v>2.3199999999999998</v>
      </c>
      <c r="Q27">
        <v>8</v>
      </c>
      <c r="R27">
        <v>16040</v>
      </c>
      <c r="S27">
        <v>10.130000000000001</v>
      </c>
      <c r="T27">
        <v>30</v>
      </c>
      <c r="U27">
        <v>3.35</v>
      </c>
      <c r="V27">
        <v>171571</v>
      </c>
      <c r="W27">
        <v>954251</v>
      </c>
      <c r="X27">
        <v>5.56</v>
      </c>
      <c r="Y27" t="s">
        <v>39</v>
      </c>
    </row>
    <row r="28" spans="1:25" x14ac:dyDescent="0.3">
      <c r="A28" t="s">
        <v>88</v>
      </c>
      <c r="B28" t="s">
        <v>89</v>
      </c>
      <c r="C28" t="s">
        <v>27</v>
      </c>
      <c r="D28" s="1">
        <v>45419</v>
      </c>
      <c r="E28">
        <v>328</v>
      </c>
      <c r="F28" t="s">
        <v>28</v>
      </c>
      <c r="G28">
        <v>4634</v>
      </c>
      <c r="H28">
        <v>2662</v>
      </c>
      <c r="I28">
        <v>120</v>
      </c>
      <c r="J28">
        <v>184</v>
      </c>
      <c r="K28">
        <v>852656</v>
      </c>
      <c r="L28">
        <v>85493</v>
      </c>
      <c r="M28">
        <v>767163</v>
      </c>
      <c r="N28">
        <v>489808</v>
      </c>
      <c r="O28">
        <v>277355</v>
      </c>
      <c r="P28">
        <v>36.15</v>
      </c>
      <c r="Q28">
        <v>2</v>
      </c>
      <c r="R28">
        <v>8340</v>
      </c>
      <c r="S28">
        <v>1.67</v>
      </c>
      <c r="T28">
        <v>43</v>
      </c>
      <c r="U28">
        <v>4.3499999999999996</v>
      </c>
      <c r="V28">
        <v>455966</v>
      </c>
      <c r="W28">
        <v>1836361</v>
      </c>
      <c r="X28">
        <v>4.03</v>
      </c>
      <c r="Y28" t="s">
        <v>29</v>
      </c>
    </row>
    <row r="29" spans="1:25" x14ac:dyDescent="0.3">
      <c r="A29" t="s">
        <v>90</v>
      </c>
      <c r="B29" t="s">
        <v>91</v>
      </c>
      <c r="C29" t="s">
        <v>27</v>
      </c>
      <c r="D29" s="1">
        <v>45255</v>
      </c>
      <c r="E29">
        <v>492</v>
      </c>
      <c r="F29" t="s">
        <v>28</v>
      </c>
      <c r="G29">
        <v>14423</v>
      </c>
      <c r="H29">
        <v>10681</v>
      </c>
      <c r="I29">
        <v>65</v>
      </c>
      <c r="J29">
        <v>100</v>
      </c>
      <c r="K29">
        <v>1442300</v>
      </c>
      <c r="L29">
        <v>192222</v>
      </c>
      <c r="M29">
        <v>1250078</v>
      </c>
      <c r="N29">
        <v>1068100</v>
      </c>
      <c r="O29">
        <v>181978</v>
      </c>
      <c r="P29">
        <v>14.56</v>
      </c>
      <c r="Q29">
        <v>8</v>
      </c>
      <c r="R29">
        <v>103840</v>
      </c>
      <c r="S29">
        <v>12.31</v>
      </c>
      <c r="T29">
        <v>26</v>
      </c>
      <c r="U29">
        <v>3.56</v>
      </c>
      <c r="V29">
        <v>333152</v>
      </c>
      <c r="W29">
        <v>4365183</v>
      </c>
      <c r="X29">
        <v>13.1</v>
      </c>
      <c r="Y29" t="s">
        <v>39</v>
      </c>
    </row>
    <row r="30" spans="1:25" x14ac:dyDescent="0.3">
      <c r="A30" t="s">
        <v>92</v>
      </c>
      <c r="B30" t="s">
        <v>93</v>
      </c>
      <c r="C30" t="s">
        <v>27</v>
      </c>
      <c r="D30" s="1">
        <v>44946</v>
      </c>
      <c r="E30">
        <v>801</v>
      </c>
      <c r="F30" t="s">
        <v>28</v>
      </c>
      <c r="G30">
        <v>11417</v>
      </c>
      <c r="H30">
        <v>6162</v>
      </c>
      <c r="I30">
        <v>99</v>
      </c>
      <c r="J30">
        <v>150</v>
      </c>
      <c r="K30">
        <v>1712550</v>
      </c>
      <c r="L30">
        <v>155995</v>
      </c>
      <c r="M30">
        <v>1556555</v>
      </c>
      <c r="N30">
        <v>924300</v>
      </c>
      <c r="O30">
        <v>632255</v>
      </c>
      <c r="P30">
        <v>40.619999999999997</v>
      </c>
      <c r="Q30">
        <v>5</v>
      </c>
      <c r="R30">
        <v>51375</v>
      </c>
      <c r="S30">
        <v>5.05</v>
      </c>
      <c r="T30">
        <v>45</v>
      </c>
      <c r="U30">
        <v>4.21</v>
      </c>
      <c r="V30">
        <v>274405</v>
      </c>
      <c r="W30">
        <v>3340149</v>
      </c>
      <c r="X30">
        <v>12.17</v>
      </c>
      <c r="Y30" t="s">
        <v>39</v>
      </c>
    </row>
    <row r="31" spans="1:25" x14ac:dyDescent="0.3">
      <c r="A31" t="s">
        <v>94</v>
      </c>
      <c r="B31" t="s">
        <v>95</v>
      </c>
      <c r="C31" t="s">
        <v>27</v>
      </c>
      <c r="D31" s="1">
        <v>44912</v>
      </c>
      <c r="E31">
        <v>835</v>
      </c>
      <c r="F31" t="s">
        <v>28</v>
      </c>
      <c r="G31">
        <v>8484</v>
      </c>
      <c r="H31">
        <v>4296</v>
      </c>
      <c r="I31">
        <v>70</v>
      </c>
      <c r="J31">
        <v>107</v>
      </c>
      <c r="K31">
        <v>907788</v>
      </c>
      <c r="L31">
        <v>108926</v>
      </c>
      <c r="M31">
        <v>798862</v>
      </c>
      <c r="N31">
        <v>459672</v>
      </c>
      <c r="O31">
        <v>339190</v>
      </c>
      <c r="P31">
        <v>42.46</v>
      </c>
      <c r="Q31">
        <v>2</v>
      </c>
      <c r="R31">
        <v>15270</v>
      </c>
      <c r="S31">
        <v>2.86</v>
      </c>
      <c r="T31">
        <v>35</v>
      </c>
      <c r="U31">
        <v>4.3</v>
      </c>
      <c r="V31">
        <v>306031</v>
      </c>
      <c r="W31">
        <v>3693251</v>
      </c>
      <c r="X31">
        <v>12.07</v>
      </c>
      <c r="Y31" t="s">
        <v>29</v>
      </c>
    </row>
    <row r="32" spans="1:25" x14ac:dyDescent="0.3">
      <c r="A32" t="s">
        <v>96</v>
      </c>
      <c r="B32" t="s">
        <v>97</v>
      </c>
      <c r="C32" t="s">
        <v>27</v>
      </c>
      <c r="D32" s="1">
        <v>45606</v>
      </c>
      <c r="E32">
        <v>141</v>
      </c>
      <c r="F32" t="s">
        <v>28</v>
      </c>
      <c r="G32">
        <v>782</v>
      </c>
      <c r="H32">
        <v>362</v>
      </c>
      <c r="I32">
        <v>125</v>
      </c>
      <c r="J32">
        <v>179</v>
      </c>
      <c r="K32">
        <v>139978</v>
      </c>
      <c r="L32">
        <v>21421</v>
      </c>
      <c r="M32">
        <v>118557</v>
      </c>
      <c r="N32">
        <v>64798</v>
      </c>
      <c r="O32">
        <v>53759</v>
      </c>
      <c r="P32">
        <v>45.34</v>
      </c>
      <c r="Q32">
        <v>12</v>
      </c>
      <c r="R32">
        <v>8436</v>
      </c>
      <c r="S32">
        <v>9.6</v>
      </c>
      <c r="T32">
        <v>52</v>
      </c>
      <c r="U32">
        <v>4.63</v>
      </c>
      <c r="V32">
        <v>736244</v>
      </c>
      <c r="W32">
        <v>536171</v>
      </c>
      <c r="X32">
        <v>0.73</v>
      </c>
      <c r="Y32" t="s">
        <v>39</v>
      </c>
    </row>
    <row r="33" spans="1:25" x14ac:dyDescent="0.3">
      <c r="A33" t="s">
        <v>98</v>
      </c>
      <c r="B33" t="s">
        <v>99</v>
      </c>
      <c r="C33" t="s">
        <v>27</v>
      </c>
      <c r="D33" s="1">
        <v>45234</v>
      </c>
      <c r="E33">
        <v>513</v>
      </c>
      <c r="F33" t="s">
        <v>28</v>
      </c>
      <c r="G33">
        <v>5693</v>
      </c>
      <c r="H33">
        <v>4152</v>
      </c>
      <c r="I33">
        <v>92</v>
      </c>
      <c r="J33">
        <v>136</v>
      </c>
      <c r="K33">
        <v>774248</v>
      </c>
      <c r="L33">
        <v>86013</v>
      </c>
      <c r="M33">
        <v>688235</v>
      </c>
      <c r="N33">
        <v>564672</v>
      </c>
      <c r="O33">
        <v>123563</v>
      </c>
      <c r="P33">
        <v>17.95</v>
      </c>
      <c r="Q33">
        <v>7</v>
      </c>
      <c r="R33">
        <v>35861</v>
      </c>
      <c r="S33">
        <v>7.61</v>
      </c>
      <c r="T33">
        <v>44</v>
      </c>
      <c r="U33">
        <v>3.66</v>
      </c>
      <c r="V33">
        <v>449972</v>
      </c>
      <c r="W33">
        <v>3841760</v>
      </c>
      <c r="X33">
        <v>8.5399999999999991</v>
      </c>
      <c r="Y33" t="s">
        <v>39</v>
      </c>
    </row>
    <row r="34" spans="1:25" x14ac:dyDescent="0.3">
      <c r="A34" t="s">
        <v>100</v>
      </c>
      <c r="B34" t="s">
        <v>101</v>
      </c>
      <c r="C34" t="s">
        <v>27</v>
      </c>
      <c r="D34" s="1">
        <v>45138</v>
      </c>
      <c r="E34">
        <v>609</v>
      </c>
      <c r="F34" t="s">
        <v>28</v>
      </c>
      <c r="G34">
        <v>16246</v>
      </c>
      <c r="H34">
        <v>13489</v>
      </c>
      <c r="I34">
        <v>24</v>
      </c>
      <c r="J34">
        <v>32</v>
      </c>
      <c r="K34">
        <v>519872</v>
      </c>
      <c r="L34">
        <v>91244</v>
      </c>
      <c r="M34">
        <v>428628</v>
      </c>
      <c r="N34">
        <v>431648</v>
      </c>
      <c r="O34">
        <v>-3020</v>
      </c>
      <c r="P34">
        <v>-0.7</v>
      </c>
      <c r="Q34">
        <v>1</v>
      </c>
      <c r="R34">
        <v>14621</v>
      </c>
      <c r="S34">
        <v>4.17</v>
      </c>
      <c r="T34">
        <v>8</v>
      </c>
      <c r="U34">
        <v>3.56</v>
      </c>
      <c r="V34">
        <v>163875</v>
      </c>
      <c r="W34">
        <v>2063287</v>
      </c>
      <c r="X34">
        <v>12.59</v>
      </c>
      <c r="Y34" t="s">
        <v>39</v>
      </c>
    </row>
    <row r="35" spans="1:25" x14ac:dyDescent="0.3">
      <c r="A35" t="s">
        <v>102</v>
      </c>
      <c r="B35" t="s">
        <v>103</v>
      </c>
      <c r="C35" t="s">
        <v>27</v>
      </c>
      <c r="D35" s="1">
        <v>45349</v>
      </c>
      <c r="E35">
        <v>398</v>
      </c>
      <c r="F35" t="s">
        <v>28</v>
      </c>
      <c r="G35">
        <v>1942</v>
      </c>
      <c r="H35">
        <v>1237</v>
      </c>
      <c r="I35">
        <v>253</v>
      </c>
      <c r="J35">
        <v>387</v>
      </c>
      <c r="K35">
        <v>751554</v>
      </c>
      <c r="L35">
        <v>101828</v>
      </c>
      <c r="M35">
        <v>649726</v>
      </c>
      <c r="N35">
        <v>478719</v>
      </c>
      <c r="O35">
        <v>171007</v>
      </c>
      <c r="P35">
        <v>26.32</v>
      </c>
      <c r="Q35">
        <v>8</v>
      </c>
      <c r="R35">
        <v>13976</v>
      </c>
      <c r="S35">
        <v>3.16</v>
      </c>
      <c r="T35">
        <v>91</v>
      </c>
      <c r="U35">
        <v>3.92</v>
      </c>
      <c r="V35">
        <v>338734</v>
      </c>
      <c r="W35">
        <v>845203</v>
      </c>
      <c r="X35">
        <v>2.5</v>
      </c>
      <c r="Y35" t="s">
        <v>39</v>
      </c>
    </row>
    <row r="36" spans="1:25" x14ac:dyDescent="0.3">
      <c r="A36" t="s">
        <v>104</v>
      </c>
      <c r="B36" t="s">
        <v>105</v>
      </c>
      <c r="C36" t="s">
        <v>27</v>
      </c>
      <c r="D36" s="1">
        <v>45075</v>
      </c>
      <c r="E36">
        <v>672</v>
      </c>
      <c r="F36" t="s">
        <v>28</v>
      </c>
      <c r="G36">
        <v>19797</v>
      </c>
      <c r="H36">
        <v>17211</v>
      </c>
      <c r="I36">
        <v>78</v>
      </c>
      <c r="J36">
        <v>125</v>
      </c>
      <c r="K36">
        <v>2474625</v>
      </c>
      <c r="L36">
        <v>420868</v>
      </c>
      <c r="M36">
        <v>2053757</v>
      </c>
      <c r="N36">
        <v>2151375</v>
      </c>
      <c r="O36">
        <v>-97618</v>
      </c>
      <c r="P36">
        <v>-4.75</v>
      </c>
      <c r="Q36">
        <v>0</v>
      </c>
      <c r="R36">
        <v>0</v>
      </c>
      <c r="S36">
        <v>0</v>
      </c>
      <c r="T36">
        <v>33</v>
      </c>
      <c r="U36">
        <v>3</v>
      </c>
      <c r="V36">
        <v>159787</v>
      </c>
      <c r="W36">
        <v>3842803</v>
      </c>
      <c r="X36">
        <v>24.05</v>
      </c>
      <c r="Y36" t="s">
        <v>39</v>
      </c>
    </row>
    <row r="37" spans="1:25" x14ac:dyDescent="0.3">
      <c r="A37" t="s">
        <v>106</v>
      </c>
      <c r="B37" t="s">
        <v>107</v>
      </c>
      <c r="C37" t="s">
        <v>27</v>
      </c>
      <c r="D37" s="1">
        <v>45432</v>
      </c>
      <c r="E37">
        <v>315</v>
      </c>
      <c r="F37" t="s">
        <v>28</v>
      </c>
      <c r="G37">
        <v>2985</v>
      </c>
      <c r="H37">
        <v>2123</v>
      </c>
      <c r="I37">
        <v>95</v>
      </c>
      <c r="J37">
        <v>143</v>
      </c>
      <c r="K37">
        <v>426855</v>
      </c>
      <c r="L37">
        <v>59771</v>
      </c>
      <c r="M37">
        <v>367084</v>
      </c>
      <c r="N37">
        <v>303589</v>
      </c>
      <c r="O37">
        <v>63495</v>
      </c>
      <c r="P37">
        <v>17.3</v>
      </c>
      <c r="Q37">
        <v>8</v>
      </c>
      <c r="R37">
        <v>21488</v>
      </c>
      <c r="S37">
        <v>8.42</v>
      </c>
      <c r="T37">
        <v>31</v>
      </c>
      <c r="U37">
        <v>3.84</v>
      </c>
      <c r="V37">
        <v>378728</v>
      </c>
      <c r="W37">
        <v>2073105</v>
      </c>
      <c r="X37">
        <v>5.47</v>
      </c>
      <c r="Y37" t="s">
        <v>39</v>
      </c>
    </row>
    <row r="38" spans="1:25" x14ac:dyDescent="0.3">
      <c r="A38" t="s">
        <v>108</v>
      </c>
      <c r="B38" t="s">
        <v>109</v>
      </c>
      <c r="C38" t="s">
        <v>27</v>
      </c>
      <c r="D38" s="1">
        <v>45522</v>
      </c>
      <c r="E38">
        <v>225</v>
      </c>
      <c r="F38" t="s">
        <v>28</v>
      </c>
      <c r="G38">
        <v>9002</v>
      </c>
      <c r="H38">
        <v>6498</v>
      </c>
      <c r="I38">
        <v>33</v>
      </c>
      <c r="J38">
        <v>52</v>
      </c>
      <c r="K38">
        <v>468104</v>
      </c>
      <c r="L38">
        <v>43926</v>
      </c>
      <c r="M38">
        <v>424178</v>
      </c>
      <c r="N38">
        <v>337896</v>
      </c>
      <c r="O38">
        <v>86282</v>
      </c>
      <c r="P38">
        <v>20.34</v>
      </c>
      <c r="Q38">
        <v>0</v>
      </c>
      <c r="R38">
        <v>0</v>
      </c>
      <c r="S38">
        <v>0</v>
      </c>
      <c r="T38">
        <v>11</v>
      </c>
      <c r="U38">
        <v>3.64</v>
      </c>
      <c r="V38">
        <v>594794</v>
      </c>
      <c r="W38">
        <v>5806443</v>
      </c>
      <c r="X38">
        <v>9.76</v>
      </c>
      <c r="Y38" t="s">
        <v>39</v>
      </c>
    </row>
    <row r="39" spans="1:25" x14ac:dyDescent="0.3">
      <c r="A39" t="s">
        <v>110</v>
      </c>
      <c r="B39" t="s">
        <v>111</v>
      </c>
      <c r="C39" t="s">
        <v>27</v>
      </c>
      <c r="D39" s="1">
        <v>44910</v>
      </c>
      <c r="E39">
        <v>837</v>
      </c>
      <c r="F39" t="s">
        <v>28</v>
      </c>
      <c r="G39">
        <v>18747</v>
      </c>
      <c r="H39">
        <v>8469</v>
      </c>
      <c r="I39">
        <v>34</v>
      </c>
      <c r="J39">
        <v>43</v>
      </c>
      <c r="K39">
        <v>806121</v>
      </c>
      <c r="L39">
        <v>122433</v>
      </c>
      <c r="M39">
        <v>683688</v>
      </c>
      <c r="N39">
        <v>364167</v>
      </c>
      <c r="O39">
        <v>319521</v>
      </c>
      <c r="P39">
        <v>46.73</v>
      </c>
      <c r="Q39">
        <v>5</v>
      </c>
      <c r="R39">
        <v>84360</v>
      </c>
      <c r="S39">
        <v>14.71</v>
      </c>
      <c r="T39">
        <v>13</v>
      </c>
      <c r="U39">
        <v>4.42</v>
      </c>
      <c r="V39">
        <v>670198</v>
      </c>
      <c r="W39">
        <v>14897473</v>
      </c>
      <c r="X39">
        <v>22.23</v>
      </c>
      <c r="Y39" t="s">
        <v>39</v>
      </c>
    </row>
    <row r="40" spans="1:25" x14ac:dyDescent="0.3">
      <c r="A40" t="s">
        <v>112</v>
      </c>
      <c r="B40" t="s">
        <v>113</v>
      </c>
      <c r="C40" t="s">
        <v>27</v>
      </c>
      <c r="D40" s="1">
        <v>45283</v>
      </c>
      <c r="E40">
        <v>464</v>
      </c>
      <c r="F40" t="s">
        <v>28</v>
      </c>
      <c r="G40">
        <v>12407</v>
      </c>
      <c r="H40">
        <v>9575</v>
      </c>
      <c r="I40">
        <v>27</v>
      </c>
      <c r="J40">
        <v>42</v>
      </c>
      <c r="K40">
        <v>521094</v>
      </c>
      <c r="L40">
        <v>77864</v>
      </c>
      <c r="M40">
        <v>443230</v>
      </c>
      <c r="N40">
        <v>402150</v>
      </c>
      <c r="O40">
        <v>41080</v>
      </c>
      <c r="P40">
        <v>9.27</v>
      </c>
      <c r="Q40">
        <v>1</v>
      </c>
      <c r="R40">
        <v>11166</v>
      </c>
      <c r="S40">
        <v>3.7</v>
      </c>
      <c r="T40">
        <v>12</v>
      </c>
      <c r="U40">
        <v>3.08</v>
      </c>
      <c r="V40">
        <v>79443</v>
      </c>
      <c r="W40">
        <v>3546822</v>
      </c>
      <c r="X40">
        <v>44.65</v>
      </c>
      <c r="Y40" t="s">
        <v>39</v>
      </c>
    </row>
    <row r="41" spans="1:25" x14ac:dyDescent="0.3">
      <c r="A41" t="s">
        <v>114</v>
      </c>
      <c r="B41" t="s">
        <v>115</v>
      </c>
      <c r="C41" t="s">
        <v>27</v>
      </c>
      <c r="D41" s="1">
        <v>44941</v>
      </c>
      <c r="E41">
        <v>806</v>
      </c>
      <c r="F41" t="s">
        <v>28</v>
      </c>
      <c r="G41">
        <v>10109</v>
      </c>
      <c r="H41">
        <v>4859</v>
      </c>
      <c r="I41">
        <v>63</v>
      </c>
      <c r="J41">
        <v>91</v>
      </c>
      <c r="K41">
        <v>919919</v>
      </c>
      <c r="L41">
        <v>163771</v>
      </c>
      <c r="M41">
        <v>756148</v>
      </c>
      <c r="N41">
        <v>442169</v>
      </c>
      <c r="O41">
        <v>313979</v>
      </c>
      <c r="P41">
        <v>41.52</v>
      </c>
      <c r="Q41">
        <v>3</v>
      </c>
      <c r="R41">
        <v>27294</v>
      </c>
      <c r="S41">
        <v>4.76</v>
      </c>
      <c r="T41">
        <v>26</v>
      </c>
      <c r="U41">
        <v>4.63</v>
      </c>
      <c r="V41">
        <v>106956</v>
      </c>
      <c r="W41">
        <v>2722950</v>
      </c>
      <c r="X41">
        <v>25.46</v>
      </c>
      <c r="Y41" t="s">
        <v>29</v>
      </c>
    </row>
    <row r="42" spans="1:25" x14ac:dyDescent="0.3">
      <c r="A42" t="s">
        <v>116</v>
      </c>
      <c r="B42" t="s">
        <v>117</v>
      </c>
      <c r="C42" t="s">
        <v>27</v>
      </c>
      <c r="D42" s="1">
        <v>45050</v>
      </c>
      <c r="E42">
        <v>697</v>
      </c>
      <c r="F42" t="s">
        <v>28</v>
      </c>
      <c r="G42">
        <v>9223</v>
      </c>
      <c r="H42">
        <v>7131</v>
      </c>
      <c r="I42">
        <v>115</v>
      </c>
      <c r="J42">
        <v>172</v>
      </c>
      <c r="K42">
        <v>1586356</v>
      </c>
      <c r="L42">
        <v>256124</v>
      </c>
      <c r="M42">
        <v>1330232</v>
      </c>
      <c r="N42">
        <v>1226532</v>
      </c>
      <c r="O42">
        <v>103700</v>
      </c>
      <c r="P42">
        <v>7.8</v>
      </c>
      <c r="Q42">
        <v>3</v>
      </c>
      <c r="R42">
        <v>24900</v>
      </c>
      <c r="S42">
        <v>2.61</v>
      </c>
      <c r="T42">
        <v>55</v>
      </c>
      <c r="U42">
        <v>3.46</v>
      </c>
      <c r="V42">
        <v>300199</v>
      </c>
      <c r="W42">
        <v>3794887</v>
      </c>
      <c r="X42">
        <v>12.64</v>
      </c>
      <c r="Y42" t="s">
        <v>39</v>
      </c>
    </row>
    <row r="43" spans="1:25" x14ac:dyDescent="0.3">
      <c r="A43" t="s">
        <v>118</v>
      </c>
      <c r="B43" t="s">
        <v>119</v>
      </c>
      <c r="C43" t="s">
        <v>27</v>
      </c>
      <c r="D43" s="1">
        <v>45268</v>
      </c>
      <c r="E43">
        <v>479</v>
      </c>
      <c r="F43" t="s">
        <v>28</v>
      </c>
      <c r="G43">
        <v>1963</v>
      </c>
      <c r="H43">
        <v>1685</v>
      </c>
      <c r="I43">
        <v>189</v>
      </c>
      <c r="J43">
        <v>282</v>
      </c>
      <c r="K43">
        <v>553566</v>
      </c>
      <c r="L43">
        <v>75289</v>
      </c>
      <c r="M43">
        <v>478277</v>
      </c>
      <c r="N43">
        <v>475170</v>
      </c>
      <c r="O43">
        <v>3107</v>
      </c>
      <c r="P43">
        <v>0.65</v>
      </c>
      <c r="Q43">
        <v>6</v>
      </c>
      <c r="R43">
        <v>10596</v>
      </c>
      <c r="S43">
        <v>3.17</v>
      </c>
      <c r="T43">
        <v>72</v>
      </c>
      <c r="U43">
        <v>2.98</v>
      </c>
      <c r="V43">
        <v>235016</v>
      </c>
      <c r="W43">
        <v>584989</v>
      </c>
      <c r="X43">
        <v>2.4900000000000002</v>
      </c>
      <c r="Y43" t="s">
        <v>39</v>
      </c>
    </row>
    <row r="44" spans="1:25" x14ac:dyDescent="0.3">
      <c r="A44" t="s">
        <v>120</v>
      </c>
      <c r="B44" t="s">
        <v>121</v>
      </c>
      <c r="C44" t="s">
        <v>27</v>
      </c>
      <c r="D44" s="1">
        <v>45399</v>
      </c>
      <c r="E44">
        <v>348</v>
      </c>
      <c r="F44" t="s">
        <v>28</v>
      </c>
      <c r="G44">
        <v>5593</v>
      </c>
      <c r="H44">
        <v>3168</v>
      </c>
      <c r="I44">
        <v>66</v>
      </c>
      <c r="J44">
        <v>95</v>
      </c>
      <c r="K44">
        <v>531335</v>
      </c>
      <c r="L44">
        <v>86316</v>
      </c>
      <c r="M44">
        <v>445019</v>
      </c>
      <c r="N44">
        <v>300960</v>
      </c>
      <c r="O44">
        <v>144059</v>
      </c>
      <c r="P44">
        <v>32.369999999999997</v>
      </c>
      <c r="Q44">
        <v>5</v>
      </c>
      <c r="R44">
        <v>25165</v>
      </c>
      <c r="S44">
        <v>7.58</v>
      </c>
      <c r="T44">
        <v>27</v>
      </c>
      <c r="U44">
        <v>4.0199999999999996</v>
      </c>
      <c r="V44">
        <v>254929</v>
      </c>
      <c r="W44">
        <v>1736394</v>
      </c>
      <c r="X44">
        <v>6.81</v>
      </c>
      <c r="Y44" t="s">
        <v>39</v>
      </c>
    </row>
    <row r="45" spans="1:25" x14ac:dyDescent="0.3">
      <c r="A45" t="s">
        <v>122</v>
      </c>
      <c r="B45" t="s">
        <v>123</v>
      </c>
      <c r="C45" t="s">
        <v>27</v>
      </c>
      <c r="D45" s="1">
        <v>45431</v>
      </c>
      <c r="E45">
        <v>316</v>
      </c>
      <c r="F45" t="s">
        <v>28</v>
      </c>
      <c r="G45">
        <v>1479</v>
      </c>
      <c r="H45">
        <v>775</v>
      </c>
      <c r="I45">
        <v>106</v>
      </c>
      <c r="J45">
        <v>149</v>
      </c>
      <c r="K45">
        <v>220371</v>
      </c>
      <c r="L45">
        <v>24506</v>
      </c>
      <c r="M45">
        <v>195865</v>
      </c>
      <c r="N45">
        <v>115475</v>
      </c>
      <c r="O45">
        <v>80390</v>
      </c>
      <c r="P45">
        <v>41.04</v>
      </c>
      <c r="Q45">
        <v>15</v>
      </c>
      <c r="R45">
        <v>19965</v>
      </c>
      <c r="S45">
        <v>14.15</v>
      </c>
      <c r="T45">
        <v>49</v>
      </c>
      <c r="U45">
        <v>4.32</v>
      </c>
      <c r="V45">
        <v>284032</v>
      </c>
      <c r="W45">
        <v>543204</v>
      </c>
      <c r="X45">
        <v>1.91</v>
      </c>
      <c r="Y45" t="s">
        <v>39</v>
      </c>
    </row>
    <row r="46" spans="1:25" x14ac:dyDescent="0.3">
      <c r="A46" t="s">
        <v>124</v>
      </c>
      <c r="B46" t="s">
        <v>125</v>
      </c>
      <c r="C46" t="s">
        <v>27</v>
      </c>
      <c r="D46" s="1">
        <v>45197</v>
      </c>
      <c r="E46">
        <v>550</v>
      </c>
      <c r="F46" t="s">
        <v>28</v>
      </c>
      <c r="G46">
        <v>8475</v>
      </c>
      <c r="H46">
        <v>5083</v>
      </c>
      <c r="I46">
        <v>89</v>
      </c>
      <c r="J46">
        <v>135</v>
      </c>
      <c r="K46">
        <v>1144125</v>
      </c>
      <c r="L46">
        <v>185216</v>
      </c>
      <c r="M46">
        <v>958909</v>
      </c>
      <c r="N46">
        <v>686205</v>
      </c>
      <c r="O46">
        <v>272704</v>
      </c>
      <c r="P46">
        <v>28.44</v>
      </c>
      <c r="Q46">
        <v>3</v>
      </c>
      <c r="R46">
        <v>22881</v>
      </c>
      <c r="S46">
        <v>3.37</v>
      </c>
      <c r="T46">
        <v>35</v>
      </c>
      <c r="U46">
        <v>4.03</v>
      </c>
      <c r="V46">
        <v>719812</v>
      </c>
      <c r="W46">
        <v>7549369</v>
      </c>
      <c r="X46">
        <v>10.49</v>
      </c>
      <c r="Y46" t="s">
        <v>29</v>
      </c>
    </row>
    <row r="47" spans="1:25" x14ac:dyDescent="0.3">
      <c r="A47" t="s">
        <v>126</v>
      </c>
      <c r="B47" t="s">
        <v>127</v>
      </c>
      <c r="C47" t="s">
        <v>27</v>
      </c>
      <c r="D47" s="1">
        <v>45016</v>
      </c>
      <c r="E47">
        <v>731</v>
      </c>
      <c r="F47" t="s">
        <v>28</v>
      </c>
      <c r="G47">
        <v>5623</v>
      </c>
      <c r="H47">
        <v>2590</v>
      </c>
      <c r="I47">
        <v>88</v>
      </c>
      <c r="J47">
        <v>129</v>
      </c>
      <c r="K47">
        <v>725367</v>
      </c>
      <c r="L47">
        <v>117108</v>
      </c>
      <c r="M47">
        <v>608259</v>
      </c>
      <c r="N47">
        <v>334110</v>
      </c>
      <c r="O47">
        <v>274149</v>
      </c>
      <c r="P47">
        <v>45.07</v>
      </c>
      <c r="Q47">
        <v>1</v>
      </c>
      <c r="R47">
        <v>5060</v>
      </c>
      <c r="S47">
        <v>1.1399999999999999</v>
      </c>
      <c r="T47">
        <v>29</v>
      </c>
      <c r="U47">
        <v>4.53</v>
      </c>
      <c r="V47">
        <v>408493</v>
      </c>
      <c r="W47">
        <v>2902686</v>
      </c>
      <c r="X47">
        <v>7.11</v>
      </c>
      <c r="Y47" t="s">
        <v>29</v>
      </c>
    </row>
    <row r="48" spans="1:25" x14ac:dyDescent="0.3">
      <c r="A48" t="s">
        <v>128</v>
      </c>
      <c r="B48" t="s">
        <v>129</v>
      </c>
      <c r="C48" t="s">
        <v>27</v>
      </c>
      <c r="D48" s="1">
        <v>45641</v>
      </c>
      <c r="E48">
        <v>106</v>
      </c>
      <c r="F48" t="s">
        <v>28</v>
      </c>
      <c r="G48">
        <v>8430</v>
      </c>
      <c r="H48">
        <v>6574</v>
      </c>
      <c r="I48">
        <v>78</v>
      </c>
      <c r="J48">
        <v>116</v>
      </c>
      <c r="K48">
        <v>977880</v>
      </c>
      <c r="L48">
        <v>121540</v>
      </c>
      <c r="M48">
        <v>856340</v>
      </c>
      <c r="N48">
        <v>762584</v>
      </c>
      <c r="O48">
        <v>93756</v>
      </c>
      <c r="P48">
        <v>10.95</v>
      </c>
      <c r="Q48">
        <v>3</v>
      </c>
      <c r="R48">
        <v>22761</v>
      </c>
      <c r="S48">
        <v>3.85</v>
      </c>
      <c r="T48">
        <v>27</v>
      </c>
      <c r="U48">
        <v>3.52</v>
      </c>
      <c r="V48">
        <v>112768</v>
      </c>
      <c r="W48">
        <v>893545</v>
      </c>
      <c r="X48">
        <v>7.92</v>
      </c>
      <c r="Y48" t="s">
        <v>39</v>
      </c>
    </row>
    <row r="49" spans="1:25" x14ac:dyDescent="0.3">
      <c r="A49" t="s">
        <v>130</v>
      </c>
      <c r="B49" t="s">
        <v>131</v>
      </c>
      <c r="C49" t="s">
        <v>27</v>
      </c>
      <c r="D49" s="1">
        <v>45649</v>
      </c>
      <c r="E49">
        <v>98</v>
      </c>
      <c r="F49" t="s">
        <v>28</v>
      </c>
      <c r="G49">
        <v>11756</v>
      </c>
      <c r="H49">
        <v>8965</v>
      </c>
      <c r="I49">
        <v>63</v>
      </c>
      <c r="J49">
        <v>95</v>
      </c>
      <c r="K49">
        <v>1116820</v>
      </c>
      <c r="L49">
        <v>220562</v>
      </c>
      <c r="M49">
        <v>896258</v>
      </c>
      <c r="N49">
        <v>851675</v>
      </c>
      <c r="O49">
        <v>44583</v>
      </c>
      <c r="P49">
        <v>4.97</v>
      </c>
      <c r="Q49">
        <v>4</v>
      </c>
      <c r="R49">
        <v>42320</v>
      </c>
      <c r="S49">
        <v>6.35</v>
      </c>
      <c r="T49">
        <v>26</v>
      </c>
      <c r="U49">
        <v>3.77</v>
      </c>
      <c r="V49">
        <v>54055</v>
      </c>
      <c r="W49">
        <v>716872</v>
      </c>
      <c r="X49">
        <v>13.26</v>
      </c>
      <c r="Y49" t="s">
        <v>39</v>
      </c>
    </row>
    <row r="50" spans="1:25" x14ac:dyDescent="0.3">
      <c r="A50" t="s">
        <v>132</v>
      </c>
      <c r="B50" t="s">
        <v>133</v>
      </c>
      <c r="C50" t="s">
        <v>27</v>
      </c>
      <c r="D50" s="1">
        <v>45356</v>
      </c>
      <c r="E50">
        <v>391</v>
      </c>
      <c r="F50" t="s">
        <v>28</v>
      </c>
      <c r="G50">
        <v>9445</v>
      </c>
      <c r="H50">
        <v>7008</v>
      </c>
      <c r="I50">
        <v>71</v>
      </c>
      <c r="J50">
        <v>107</v>
      </c>
      <c r="K50">
        <v>1010615</v>
      </c>
      <c r="L50">
        <v>193223</v>
      </c>
      <c r="M50">
        <v>817392</v>
      </c>
      <c r="N50">
        <v>749856</v>
      </c>
      <c r="O50">
        <v>67536</v>
      </c>
      <c r="P50">
        <v>8.26</v>
      </c>
      <c r="Q50">
        <v>1</v>
      </c>
      <c r="R50">
        <v>8500</v>
      </c>
      <c r="S50">
        <v>1.41</v>
      </c>
      <c r="T50">
        <v>19</v>
      </c>
      <c r="U50">
        <v>3.37</v>
      </c>
      <c r="V50">
        <v>414632</v>
      </c>
      <c r="W50">
        <v>6278239</v>
      </c>
      <c r="X50">
        <v>15.14</v>
      </c>
      <c r="Y50" t="s">
        <v>39</v>
      </c>
    </row>
    <row r="51" spans="1:25" x14ac:dyDescent="0.3">
      <c r="A51" t="s">
        <v>134</v>
      </c>
      <c r="B51" t="s">
        <v>135</v>
      </c>
      <c r="C51" t="s">
        <v>27</v>
      </c>
      <c r="D51" s="1">
        <v>45106</v>
      </c>
      <c r="E51">
        <v>641</v>
      </c>
      <c r="F51" t="s">
        <v>28</v>
      </c>
      <c r="G51">
        <v>6150</v>
      </c>
      <c r="H51">
        <v>3928</v>
      </c>
      <c r="I51">
        <v>139</v>
      </c>
      <c r="J51">
        <v>204</v>
      </c>
      <c r="K51">
        <v>1254600</v>
      </c>
      <c r="L51">
        <v>189746</v>
      </c>
      <c r="M51">
        <v>1064854</v>
      </c>
      <c r="N51">
        <v>801312</v>
      </c>
      <c r="O51">
        <v>263542</v>
      </c>
      <c r="P51">
        <v>24.75</v>
      </c>
      <c r="Q51">
        <v>11</v>
      </c>
      <c r="R51">
        <v>60885</v>
      </c>
      <c r="S51">
        <v>7.91</v>
      </c>
      <c r="T51">
        <v>51</v>
      </c>
      <c r="U51">
        <v>3.87</v>
      </c>
      <c r="V51">
        <v>234898</v>
      </c>
      <c r="W51">
        <v>2308074</v>
      </c>
      <c r="X51">
        <v>9.83</v>
      </c>
      <c r="Y51" t="s">
        <v>39</v>
      </c>
    </row>
    <row r="52" spans="1:25" x14ac:dyDescent="0.3">
      <c r="A52" t="s">
        <v>136</v>
      </c>
      <c r="B52" t="s">
        <v>137</v>
      </c>
      <c r="C52" t="s">
        <v>27</v>
      </c>
      <c r="D52" s="1">
        <v>45425</v>
      </c>
      <c r="E52">
        <v>322</v>
      </c>
      <c r="F52" t="s">
        <v>28</v>
      </c>
      <c r="G52">
        <v>4088</v>
      </c>
      <c r="H52">
        <v>2970</v>
      </c>
      <c r="I52">
        <v>64</v>
      </c>
      <c r="J52">
        <v>95</v>
      </c>
      <c r="K52">
        <v>388360</v>
      </c>
      <c r="L52">
        <v>56328</v>
      </c>
      <c r="M52">
        <v>332032</v>
      </c>
      <c r="N52">
        <v>282150</v>
      </c>
      <c r="O52">
        <v>49882</v>
      </c>
      <c r="P52">
        <v>15.02</v>
      </c>
      <c r="Q52">
        <v>4</v>
      </c>
      <c r="R52">
        <v>14716</v>
      </c>
      <c r="S52">
        <v>6.25</v>
      </c>
      <c r="T52">
        <v>22</v>
      </c>
      <c r="U52">
        <v>3.66</v>
      </c>
      <c r="V52">
        <v>126713</v>
      </c>
      <c r="W52">
        <v>644806</v>
      </c>
      <c r="X52">
        <v>5.09</v>
      </c>
      <c r="Y52" t="s">
        <v>39</v>
      </c>
    </row>
    <row r="53" spans="1:25" x14ac:dyDescent="0.3">
      <c r="A53" t="s">
        <v>138</v>
      </c>
      <c r="B53" t="s">
        <v>139</v>
      </c>
      <c r="C53" t="s">
        <v>27</v>
      </c>
      <c r="D53" s="1">
        <v>44906</v>
      </c>
      <c r="E53">
        <v>841</v>
      </c>
      <c r="F53" t="s">
        <v>28</v>
      </c>
      <c r="G53">
        <v>6755</v>
      </c>
      <c r="H53">
        <v>4972</v>
      </c>
      <c r="I53">
        <v>56</v>
      </c>
      <c r="J53">
        <v>87</v>
      </c>
      <c r="K53">
        <v>587685</v>
      </c>
      <c r="L53">
        <v>112996</v>
      </c>
      <c r="M53">
        <v>474689</v>
      </c>
      <c r="N53">
        <v>432564</v>
      </c>
      <c r="O53">
        <v>42125</v>
      </c>
      <c r="P53">
        <v>8.8699999999999992</v>
      </c>
      <c r="Q53">
        <v>8</v>
      </c>
      <c r="R53">
        <v>48632</v>
      </c>
      <c r="S53">
        <v>14.29</v>
      </c>
      <c r="T53">
        <v>26</v>
      </c>
      <c r="U53">
        <v>3.58</v>
      </c>
      <c r="V53">
        <v>151905</v>
      </c>
      <c r="W53">
        <v>2047785</v>
      </c>
      <c r="X53">
        <v>13.48</v>
      </c>
      <c r="Y53" t="s">
        <v>39</v>
      </c>
    </row>
    <row r="54" spans="1:25" x14ac:dyDescent="0.3">
      <c r="A54" t="s">
        <v>140</v>
      </c>
      <c r="B54" t="s">
        <v>141</v>
      </c>
      <c r="C54" t="s">
        <v>27</v>
      </c>
      <c r="D54" s="1">
        <v>45253</v>
      </c>
      <c r="E54">
        <v>494</v>
      </c>
      <c r="F54" t="s">
        <v>28</v>
      </c>
      <c r="G54">
        <v>16916</v>
      </c>
      <c r="H54">
        <v>12870</v>
      </c>
      <c r="I54">
        <v>67</v>
      </c>
      <c r="J54">
        <v>102</v>
      </c>
      <c r="K54">
        <v>1725432</v>
      </c>
      <c r="L54">
        <v>348118</v>
      </c>
      <c r="M54">
        <v>1377314</v>
      </c>
      <c r="N54">
        <v>1312740</v>
      </c>
      <c r="O54">
        <v>64574</v>
      </c>
      <c r="P54">
        <v>4.6900000000000004</v>
      </c>
      <c r="Q54">
        <v>4</v>
      </c>
      <c r="R54">
        <v>60896</v>
      </c>
      <c r="S54">
        <v>5.97</v>
      </c>
      <c r="T54">
        <v>26</v>
      </c>
      <c r="U54">
        <v>3.42</v>
      </c>
      <c r="V54">
        <v>148823</v>
      </c>
      <c r="W54">
        <v>2948386</v>
      </c>
      <c r="X54">
        <v>19.809999999999999</v>
      </c>
      <c r="Y54" t="s">
        <v>39</v>
      </c>
    </row>
    <row r="55" spans="1:25" x14ac:dyDescent="0.3">
      <c r="A55" t="s">
        <v>142</v>
      </c>
      <c r="B55" t="s">
        <v>143</v>
      </c>
      <c r="C55" t="s">
        <v>27</v>
      </c>
      <c r="D55" s="1">
        <v>45143</v>
      </c>
      <c r="E55">
        <v>604</v>
      </c>
      <c r="F55" t="s">
        <v>28</v>
      </c>
      <c r="G55">
        <v>6001</v>
      </c>
      <c r="H55">
        <v>3738</v>
      </c>
      <c r="I55">
        <v>100</v>
      </c>
      <c r="J55">
        <v>139</v>
      </c>
      <c r="K55">
        <v>834139</v>
      </c>
      <c r="L55">
        <v>108299</v>
      </c>
      <c r="M55">
        <v>725840</v>
      </c>
      <c r="N55">
        <v>519582</v>
      </c>
      <c r="O55">
        <v>206258</v>
      </c>
      <c r="P55">
        <v>28.42</v>
      </c>
      <c r="Q55">
        <v>2</v>
      </c>
      <c r="R55">
        <v>10800</v>
      </c>
      <c r="S55">
        <v>2</v>
      </c>
      <c r="T55">
        <v>32</v>
      </c>
      <c r="U55">
        <v>4.03</v>
      </c>
      <c r="V55">
        <v>638833</v>
      </c>
      <c r="W55">
        <v>3136294</v>
      </c>
      <c r="X55">
        <v>4.91</v>
      </c>
      <c r="Y55" t="s">
        <v>29</v>
      </c>
    </row>
    <row r="56" spans="1:25" x14ac:dyDescent="0.3">
      <c r="A56" t="s">
        <v>144</v>
      </c>
      <c r="B56" t="s">
        <v>145</v>
      </c>
      <c r="C56" t="s">
        <v>27</v>
      </c>
      <c r="D56" s="1">
        <v>45287</v>
      </c>
      <c r="E56">
        <v>460</v>
      </c>
      <c r="F56" t="s">
        <v>28</v>
      </c>
      <c r="G56">
        <v>10858</v>
      </c>
      <c r="H56">
        <v>7500</v>
      </c>
      <c r="I56">
        <v>112</v>
      </c>
      <c r="J56">
        <v>168</v>
      </c>
      <c r="K56">
        <v>1824144</v>
      </c>
      <c r="L56">
        <v>239526</v>
      </c>
      <c r="M56">
        <v>1584618</v>
      </c>
      <c r="N56">
        <v>1260000</v>
      </c>
      <c r="O56">
        <v>324618</v>
      </c>
      <c r="P56">
        <v>20.49</v>
      </c>
      <c r="Q56">
        <v>1</v>
      </c>
      <c r="R56">
        <v>9772</v>
      </c>
      <c r="S56">
        <v>0.89</v>
      </c>
      <c r="T56">
        <v>43</v>
      </c>
      <c r="U56">
        <v>3.52</v>
      </c>
      <c r="V56">
        <v>598788</v>
      </c>
      <c r="W56">
        <v>5747478</v>
      </c>
      <c r="X56">
        <v>9.6</v>
      </c>
      <c r="Y56" t="s">
        <v>39</v>
      </c>
    </row>
    <row r="57" spans="1:25" x14ac:dyDescent="0.3">
      <c r="A57" t="s">
        <v>146</v>
      </c>
      <c r="B57" t="s">
        <v>147</v>
      </c>
      <c r="C57" t="s">
        <v>27</v>
      </c>
      <c r="D57" s="1">
        <v>45483</v>
      </c>
      <c r="E57">
        <v>264</v>
      </c>
      <c r="F57" t="s">
        <v>28</v>
      </c>
      <c r="G57">
        <v>9598</v>
      </c>
      <c r="H57">
        <v>6411</v>
      </c>
      <c r="I57">
        <v>44</v>
      </c>
      <c r="J57">
        <v>68</v>
      </c>
      <c r="K57">
        <v>652664</v>
      </c>
      <c r="L57">
        <v>100543</v>
      </c>
      <c r="M57">
        <v>552121</v>
      </c>
      <c r="N57">
        <v>435948</v>
      </c>
      <c r="O57">
        <v>116173</v>
      </c>
      <c r="P57">
        <v>21.04</v>
      </c>
      <c r="Q57">
        <v>4</v>
      </c>
      <c r="R57">
        <v>34552</v>
      </c>
      <c r="S57">
        <v>9.09</v>
      </c>
      <c r="T57">
        <v>23</v>
      </c>
      <c r="U57">
        <v>3.98</v>
      </c>
      <c r="V57">
        <v>364446</v>
      </c>
      <c r="W57">
        <v>4247170</v>
      </c>
      <c r="X57">
        <v>11.65</v>
      </c>
      <c r="Y57" t="s">
        <v>39</v>
      </c>
    </row>
    <row r="58" spans="1:25" x14ac:dyDescent="0.3">
      <c r="A58" t="s">
        <v>148</v>
      </c>
      <c r="B58" t="s">
        <v>149</v>
      </c>
      <c r="C58" t="s">
        <v>27</v>
      </c>
      <c r="D58" s="1">
        <v>44882</v>
      </c>
      <c r="E58">
        <v>865</v>
      </c>
      <c r="F58" t="s">
        <v>28</v>
      </c>
      <c r="G58">
        <v>6824</v>
      </c>
      <c r="H58">
        <v>5689</v>
      </c>
      <c r="I58">
        <v>94</v>
      </c>
      <c r="J58">
        <v>145</v>
      </c>
      <c r="K58">
        <v>989480</v>
      </c>
      <c r="L58">
        <v>105776</v>
      </c>
      <c r="M58">
        <v>883704</v>
      </c>
      <c r="N58">
        <v>824905</v>
      </c>
      <c r="O58">
        <v>58799</v>
      </c>
      <c r="P58">
        <v>6.65</v>
      </c>
      <c r="Q58">
        <v>10</v>
      </c>
      <c r="R58">
        <v>61410</v>
      </c>
      <c r="S58">
        <v>10.64</v>
      </c>
      <c r="T58">
        <v>33</v>
      </c>
      <c r="U58">
        <v>3.41</v>
      </c>
      <c r="V58">
        <v>219988</v>
      </c>
      <c r="W58">
        <v>1815661</v>
      </c>
      <c r="X58">
        <v>8.25</v>
      </c>
      <c r="Y58" t="s">
        <v>39</v>
      </c>
    </row>
    <row r="59" spans="1:25" x14ac:dyDescent="0.3">
      <c r="A59" t="s">
        <v>150</v>
      </c>
      <c r="B59" t="s">
        <v>151</v>
      </c>
      <c r="C59" t="s">
        <v>27</v>
      </c>
      <c r="D59" s="1">
        <v>45228</v>
      </c>
      <c r="E59">
        <v>519</v>
      </c>
      <c r="F59" t="s">
        <v>28</v>
      </c>
      <c r="G59">
        <v>6670</v>
      </c>
      <c r="H59">
        <v>3846</v>
      </c>
      <c r="I59">
        <v>133</v>
      </c>
      <c r="J59">
        <v>199</v>
      </c>
      <c r="K59">
        <v>1327330</v>
      </c>
      <c r="L59">
        <v>231391</v>
      </c>
      <c r="M59">
        <v>1095939</v>
      </c>
      <c r="N59">
        <v>765354</v>
      </c>
      <c r="O59">
        <v>330585</v>
      </c>
      <c r="P59">
        <v>30.16</v>
      </c>
      <c r="Q59">
        <v>20</v>
      </c>
      <c r="R59">
        <v>120060</v>
      </c>
      <c r="S59">
        <v>15.04</v>
      </c>
      <c r="T59">
        <v>46</v>
      </c>
      <c r="U59">
        <v>4.22</v>
      </c>
      <c r="V59">
        <v>467089</v>
      </c>
      <c r="W59">
        <v>2670351</v>
      </c>
      <c r="X59">
        <v>5.72</v>
      </c>
      <c r="Y59" t="s">
        <v>39</v>
      </c>
    </row>
    <row r="60" spans="1:25" x14ac:dyDescent="0.3">
      <c r="A60" t="s">
        <v>152</v>
      </c>
      <c r="B60" t="s">
        <v>153</v>
      </c>
      <c r="C60" t="s">
        <v>27</v>
      </c>
      <c r="D60" s="1">
        <v>45547</v>
      </c>
      <c r="E60">
        <v>200</v>
      </c>
      <c r="F60" t="s">
        <v>28</v>
      </c>
      <c r="G60">
        <v>14230</v>
      </c>
      <c r="H60">
        <v>11405</v>
      </c>
      <c r="I60">
        <v>26</v>
      </c>
      <c r="J60">
        <v>39</v>
      </c>
      <c r="K60">
        <v>554970</v>
      </c>
      <c r="L60">
        <v>101257</v>
      </c>
      <c r="M60">
        <v>453713</v>
      </c>
      <c r="N60">
        <v>444795</v>
      </c>
      <c r="O60">
        <v>8918</v>
      </c>
      <c r="P60">
        <v>1.97</v>
      </c>
      <c r="Q60">
        <v>0</v>
      </c>
      <c r="R60">
        <v>0</v>
      </c>
      <c r="S60">
        <v>0</v>
      </c>
      <c r="T60">
        <v>11</v>
      </c>
      <c r="U60">
        <v>3.64</v>
      </c>
      <c r="V60">
        <v>540877</v>
      </c>
      <c r="W60">
        <v>8624298</v>
      </c>
      <c r="X60">
        <v>15.95</v>
      </c>
      <c r="Y60" t="s">
        <v>39</v>
      </c>
    </row>
    <row r="61" spans="1:25" x14ac:dyDescent="0.3">
      <c r="A61" t="s">
        <v>154</v>
      </c>
      <c r="B61" t="s">
        <v>155</v>
      </c>
      <c r="C61" t="s">
        <v>27</v>
      </c>
      <c r="D61" s="1">
        <v>45444</v>
      </c>
      <c r="E61">
        <v>303</v>
      </c>
      <c r="F61" t="s">
        <v>28</v>
      </c>
      <c r="G61">
        <v>17703</v>
      </c>
      <c r="H61">
        <v>8062</v>
      </c>
      <c r="I61">
        <v>56</v>
      </c>
      <c r="J61">
        <v>86</v>
      </c>
      <c r="K61">
        <v>1522458</v>
      </c>
      <c r="L61">
        <v>127484</v>
      </c>
      <c r="M61">
        <v>1394974</v>
      </c>
      <c r="N61">
        <v>693332</v>
      </c>
      <c r="O61">
        <v>701642</v>
      </c>
      <c r="P61">
        <v>50.3</v>
      </c>
      <c r="Q61">
        <v>7</v>
      </c>
      <c r="R61">
        <v>111524</v>
      </c>
      <c r="S61">
        <v>12.5</v>
      </c>
      <c r="T61">
        <v>24</v>
      </c>
      <c r="U61">
        <v>4.4800000000000004</v>
      </c>
      <c r="V61">
        <v>406951</v>
      </c>
      <c r="W61">
        <v>8210978</v>
      </c>
      <c r="X61">
        <v>20.18</v>
      </c>
      <c r="Y61" t="s">
        <v>39</v>
      </c>
    </row>
    <row r="62" spans="1:25" x14ac:dyDescent="0.3">
      <c r="A62" t="s">
        <v>156</v>
      </c>
      <c r="B62" t="s">
        <v>157</v>
      </c>
      <c r="C62" t="s">
        <v>27</v>
      </c>
      <c r="D62" s="1">
        <v>44997</v>
      </c>
      <c r="E62">
        <v>750</v>
      </c>
      <c r="F62" t="s">
        <v>28</v>
      </c>
      <c r="G62">
        <v>18251</v>
      </c>
      <c r="H62">
        <v>12763</v>
      </c>
      <c r="I62">
        <v>76</v>
      </c>
      <c r="J62">
        <v>114</v>
      </c>
      <c r="K62">
        <v>2080614</v>
      </c>
      <c r="L62">
        <v>285077</v>
      </c>
      <c r="M62">
        <v>1795537</v>
      </c>
      <c r="N62">
        <v>1454982</v>
      </c>
      <c r="O62">
        <v>340555</v>
      </c>
      <c r="P62">
        <v>18.97</v>
      </c>
      <c r="Q62">
        <v>1</v>
      </c>
      <c r="R62">
        <v>16425</v>
      </c>
      <c r="S62">
        <v>1.32</v>
      </c>
      <c r="T62">
        <v>33</v>
      </c>
      <c r="U62">
        <v>3.82</v>
      </c>
      <c r="V62">
        <v>218427</v>
      </c>
      <c r="W62">
        <v>6008308</v>
      </c>
      <c r="X62">
        <v>27.51</v>
      </c>
      <c r="Y62" t="s">
        <v>39</v>
      </c>
    </row>
    <row r="63" spans="1:25" x14ac:dyDescent="0.3">
      <c r="A63" t="s">
        <v>158</v>
      </c>
      <c r="B63" t="s">
        <v>159</v>
      </c>
      <c r="C63" t="s">
        <v>27</v>
      </c>
      <c r="D63" s="1">
        <v>45079</v>
      </c>
      <c r="E63">
        <v>668</v>
      </c>
      <c r="F63" t="s">
        <v>28</v>
      </c>
      <c r="G63">
        <v>17380</v>
      </c>
      <c r="H63">
        <v>11851</v>
      </c>
      <c r="I63">
        <v>51</v>
      </c>
      <c r="J63">
        <v>80</v>
      </c>
      <c r="K63">
        <v>1390400</v>
      </c>
      <c r="L63">
        <v>231568</v>
      </c>
      <c r="M63">
        <v>1158832</v>
      </c>
      <c r="N63">
        <v>948080</v>
      </c>
      <c r="O63">
        <v>210752</v>
      </c>
      <c r="P63">
        <v>18.190000000000001</v>
      </c>
      <c r="Q63">
        <v>0</v>
      </c>
      <c r="R63">
        <v>0</v>
      </c>
      <c r="S63">
        <v>0</v>
      </c>
      <c r="T63">
        <v>19</v>
      </c>
      <c r="U63">
        <v>3.45</v>
      </c>
      <c r="V63">
        <v>575567</v>
      </c>
      <c r="W63">
        <v>10658910</v>
      </c>
      <c r="X63">
        <v>18.52</v>
      </c>
      <c r="Y63" t="s">
        <v>39</v>
      </c>
    </row>
    <row r="64" spans="1:25" x14ac:dyDescent="0.3">
      <c r="A64" t="s">
        <v>160</v>
      </c>
      <c r="B64" t="s">
        <v>161</v>
      </c>
      <c r="C64" t="s">
        <v>27</v>
      </c>
      <c r="D64" s="1">
        <v>45071</v>
      </c>
      <c r="E64">
        <v>676</v>
      </c>
      <c r="F64" t="s">
        <v>28</v>
      </c>
      <c r="G64">
        <v>2939</v>
      </c>
      <c r="H64">
        <v>2462</v>
      </c>
      <c r="I64">
        <v>117</v>
      </c>
      <c r="J64">
        <v>174</v>
      </c>
      <c r="K64">
        <v>511386</v>
      </c>
      <c r="L64">
        <v>54939</v>
      </c>
      <c r="M64">
        <v>456447</v>
      </c>
      <c r="N64">
        <v>428388</v>
      </c>
      <c r="O64">
        <v>28059</v>
      </c>
      <c r="P64">
        <v>6.15</v>
      </c>
      <c r="Q64">
        <v>8</v>
      </c>
      <c r="R64">
        <v>21160</v>
      </c>
      <c r="S64">
        <v>6.84</v>
      </c>
      <c r="T64">
        <v>57</v>
      </c>
      <c r="U64">
        <v>3.21</v>
      </c>
      <c r="V64">
        <v>215881</v>
      </c>
      <c r="W64">
        <v>885946</v>
      </c>
      <c r="X64">
        <v>4.0999999999999996</v>
      </c>
      <c r="Y64" t="s">
        <v>39</v>
      </c>
    </row>
    <row r="65" spans="1:25" x14ac:dyDescent="0.3">
      <c r="A65" t="s">
        <v>162</v>
      </c>
      <c r="B65" t="s">
        <v>163</v>
      </c>
      <c r="C65" t="s">
        <v>27</v>
      </c>
      <c r="D65" s="1">
        <v>45046</v>
      </c>
      <c r="E65">
        <v>701</v>
      </c>
      <c r="F65" t="s">
        <v>28</v>
      </c>
      <c r="G65">
        <v>15566</v>
      </c>
      <c r="H65">
        <v>11097</v>
      </c>
      <c r="I65">
        <v>51</v>
      </c>
      <c r="J65">
        <v>74</v>
      </c>
      <c r="K65">
        <v>1151884</v>
      </c>
      <c r="L65">
        <v>142822</v>
      </c>
      <c r="M65">
        <v>1009062</v>
      </c>
      <c r="N65">
        <v>821178</v>
      </c>
      <c r="O65">
        <v>187884</v>
      </c>
      <c r="P65">
        <v>18.62</v>
      </c>
      <c r="Q65">
        <v>2</v>
      </c>
      <c r="R65">
        <v>28018</v>
      </c>
      <c r="S65">
        <v>3.92</v>
      </c>
      <c r="T65">
        <v>25</v>
      </c>
      <c r="U65">
        <v>3.74</v>
      </c>
      <c r="V65">
        <v>483714</v>
      </c>
      <c r="W65">
        <v>12315927</v>
      </c>
      <c r="X65">
        <v>25.46</v>
      </c>
      <c r="Y65" t="s">
        <v>39</v>
      </c>
    </row>
    <row r="66" spans="1:25" x14ac:dyDescent="0.3">
      <c r="A66" t="s">
        <v>164</v>
      </c>
      <c r="B66" t="s">
        <v>165</v>
      </c>
      <c r="C66" t="s">
        <v>27</v>
      </c>
      <c r="D66" s="1">
        <v>45195</v>
      </c>
      <c r="E66">
        <v>552</v>
      </c>
      <c r="F66" t="s">
        <v>28</v>
      </c>
      <c r="G66">
        <v>12763</v>
      </c>
      <c r="H66">
        <v>8747</v>
      </c>
      <c r="I66">
        <v>99</v>
      </c>
      <c r="J66">
        <v>148</v>
      </c>
      <c r="K66">
        <v>1888924</v>
      </c>
      <c r="L66">
        <v>233116</v>
      </c>
      <c r="M66">
        <v>1655808</v>
      </c>
      <c r="N66">
        <v>1294556</v>
      </c>
      <c r="O66">
        <v>361252</v>
      </c>
      <c r="P66">
        <v>21.82</v>
      </c>
      <c r="Q66">
        <v>6</v>
      </c>
      <c r="R66">
        <v>68916</v>
      </c>
      <c r="S66">
        <v>6.06</v>
      </c>
      <c r="T66">
        <v>52</v>
      </c>
      <c r="U66">
        <v>3.51</v>
      </c>
      <c r="V66">
        <v>325530</v>
      </c>
      <c r="W66">
        <v>4233354</v>
      </c>
      <c r="X66">
        <v>13</v>
      </c>
      <c r="Y66" t="s">
        <v>39</v>
      </c>
    </row>
    <row r="67" spans="1:25" x14ac:dyDescent="0.3">
      <c r="A67" t="s">
        <v>166</v>
      </c>
      <c r="B67" t="s">
        <v>167</v>
      </c>
      <c r="C67" t="s">
        <v>27</v>
      </c>
      <c r="D67" s="1">
        <v>45114</v>
      </c>
      <c r="E67">
        <v>633</v>
      </c>
      <c r="F67" t="s">
        <v>28</v>
      </c>
      <c r="G67">
        <v>7525</v>
      </c>
      <c r="H67">
        <v>5119</v>
      </c>
      <c r="I67">
        <v>60</v>
      </c>
      <c r="J67">
        <v>87</v>
      </c>
      <c r="K67">
        <v>654675</v>
      </c>
      <c r="L67">
        <v>108557</v>
      </c>
      <c r="M67">
        <v>546118</v>
      </c>
      <c r="N67">
        <v>445353</v>
      </c>
      <c r="O67">
        <v>100765</v>
      </c>
      <c r="P67">
        <v>18.45</v>
      </c>
      <c r="Q67">
        <v>5</v>
      </c>
      <c r="R67">
        <v>33860</v>
      </c>
      <c r="S67">
        <v>8.33</v>
      </c>
      <c r="T67">
        <v>24</v>
      </c>
      <c r="U67">
        <v>3.6</v>
      </c>
      <c r="V67">
        <v>508610</v>
      </c>
      <c r="W67">
        <v>5259334</v>
      </c>
      <c r="X67">
        <v>10.34</v>
      </c>
      <c r="Y67" t="s">
        <v>39</v>
      </c>
    </row>
    <row r="68" spans="1:25" x14ac:dyDescent="0.3">
      <c r="A68" t="s">
        <v>168</v>
      </c>
      <c r="B68" t="s">
        <v>169</v>
      </c>
      <c r="C68" t="s">
        <v>27</v>
      </c>
      <c r="D68" s="1">
        <v>45472</v>
      </c>
      <c r="E68">
        <v>275</v>
      </c>
      <c r="F68" t="s">
        <v>28</v>
      </c>
      <c r="G68">
        <v>15614</v>
      </c>
      <c r="H68">
        <v>7591</v>
      </c>
      <c r="I68">
        <v>87</v>
      </c>
      <c r="J68">
        <v>129</v>
      </c>
      <c r="K68">
        <v>2014206</v>
      </c>
      <c r="L68">
        <v>361226</v>
      </c>
      <c r="M68">
        <v>1652980</v>
      </c>
      <c r="N68">
        <v>979239</v>
      </c>
      <c r="O68">
        <v>673741</v>
      </c>
      <c r="P68">
        <v>40.76</v>
      </c>
      <c r="Q68">
        <v>12</v>
      </c>
      <c r="R68">
        <v>168624</v>
      </c>
      <c r="S68">
        <v>13.79</v>
      </c>
      <c r="T68">
        <v>33</v>
      </c>
      <c r="U68">
        <v>4.2300000000000004</v>
      </c>
      <c r="V68">
        <v>481228</v>
      </c>
      <c r="W68">
        <v>6663777</v>
      </c>
      <c r="X68">
        <v>13.85</v>
      </c>
      <c r="Y68" t="s">
        <v>39</v>
      </c>
    </row>
    <row r="69" spans="1:25" x14ac:dyDescent="0.3">
      <c r="A69" t="s">
        <v>170</v>
      </c>
      <c r="B69" t="s">
        <v>171</v>
      </c>
      <c r="C69" t="s">
        <v>27</v>
      </c>
      <c r="D69" s="1">
        <v>45021</v>
      </c>
      <c r="E69">
        <v>726</v>
      </c>
      <c r="F69" t="s">
        <v>28</v>
      </c>
      <c r="G69">
        <v>4745</v>
      </c>
      <c r="H69">
        <v>2419</v>
      </c>
      <c r="I69">
        <v>160</v>
      </c>
      <c r="J69">
        <v>234</v>
      </c>
      <c r="K69">
        <v>1110330</v>
      </c>
      <c r="L69">
        <v>186193</v>
      </c>
      <c r="M69">
        <v>924137</v>
      </c>
      <c r="N69">
        <v>566046</v>
      </c>
      <c r="O69">
        <v>358091</v>
      </c>
      <c r="P69">
        <v>38.75</v>
      </c>
      <c r="Q69">
        <v>22</v>
      </c>
      <c r="R69">
        <v>93940</v>
      </c>
      <c r="S69">
        <v>13.75</v>
      </c>
      <c r="T69">
        <v>66</v>
      </c>
      <c r="U69">
        <v>4.41</v>
      </c>
      <c r="V69">
        <v>271745</v>
      </c>
      <c r="W69">
        <v>1407533</v>
      </c>
      <c r="X69">
        <v>5.18</v>
      </c>
      <c r="Y69" t="s">
        <v>39</v>
      </c>
    </row>
    <row r="70" spans="1:25" x14ac:dyDescent="0.3">
      <c r="A70" t="s">
        <v>172</v>
      </c>
      <c r="B70" t="s">
        <v>173</v>
      </c>
      <c r="C70" t="s">
        <v>27</v>
      </c>
      <c r="D70" s="1">
        <v>45266</v>
      </c>
      <c r="E70">
        <v>481</v>
      </c>
      <c r="F70" t="s">
        <v>28</v>
      </c>
      <c r="G70">
        <v>9416</v>
      </c>
      <c r="H70">
        <v>5287</v>
      </c>
      <c r="I70">
        <v>96</v>
      </c>
      <c r="J70">
        <v>140</v>
      </c>
      <c r="K70">
        <v>1318240</v>
      </c>
      <c r="L70">
        <v>140975</v>
      </c>
      <c r="M70">
        <v>1177265</v>
      </c>
      <c r="N70">
        <v>740180</v>
      </c>
      <c r="O70">
        <v>437085</v>
      </c>
      <c r="P70">
        <v>37.130000000000003</v>
      </c>
      <c r="Q70">
        <v>5</v>
      </c>
      <c r="R70">
        <v>42370</v>
      </c>
      <c r="S70">
        <v>5.21</v>
      </c>
      <c r="T70">
        <v>36</v>
      </c>
      <c r="U70">
        <v>4.28</v>
      </c>
      <c r="V70">
        <v>317091</v>
      </c>
      <c r="W70">
        <v>3821819</v>
      </c>
      <c r="X70">
        <v>12.05</v>
      </c>
      <c r="Y70" t="s">
        <v>39</v>
      </c>
    </row>
    <row r="71" spans="1:25" x14ac:dyDescent="0.3">
      <c r="A71" t="s">
        <v>174</v>
      </c>
      <c r="B71" t="s">
        <v>175</v>
      </c>
      <c r="C71" t="s">
        <v>27</v>
      </c>
      <c r="D71" s="1">
        <v>45634</v>
      </c>
      <c r="E71">
        <v>113</v>
      </c>
      <c r="F71" t="s">
        <v>28</v>
      </c>
      <c r="G71">
        <v>7646</v>
      </c>
      <c r="H71">
        <v>4644</v>
      </c>
      <c r="I71">
        <v>67</v>
      </c>
      <c r="J71">
        <v>103</v>
      </c>
      <c r="K71">
        <v>787538</v>
      </c>
      <c r="L71">
        <v>87697</v>
      </c>
      <c r="M71">
        <v>699841</v>
      </c>
      <c r="N71">
        <v>478332</v>
      </c>
      <c r="O71">
        <v>221509</v>
      </c>
      <c r="P71">
        <v>31.65</v>
      </c>
      <c r="Q71">
        <v>4</v>
      </c>
      <c r="R71">
        <v>27524</v>
      </c>
      <c r="S71">
        <v>5.97</v>
      </c>
      <c r="T71">
        <v>26</v>
      </c>
      <c r="U71">
        <v>4.12</v>
      </c>
      <c r="V71">
        <v>56148</v>
      </c>
      <c r="W71">
        <v>750470</v>
      </c>
      <c r="X71">
        <v>13.37</v>
      </c>
      <c r="Y71" t="s">
        <v>61</v>
      </c>
    </row>
    <row r="72" spans="1:25" x14ac:dyDescent="0.3">
      <c r="A72" t="s">
        <v>176</v>
      </c>
      <c r="B72" t="s">
        <v>177</v>
      </c>
      <c r="C72" t="s">
        <v>27</v>
      </c>
      <c r="D72" s="1">
        <v>45319</v>
      </c>
      <c r="E72">
        <v>428</v>
      </c>
      <c r="F72" t="s">
        <v>28</v>
      </c>
      <c r="G72">
        <v>5292</v>
      </c>
      <c r="H72">
        <v>4194</v>
      </c>
      <c r="I72">
        <v>131</v>
      </c>
      <c r="J72">
        <v>201</v>
      </c>
      <c r="K72">
        <v>1063692</v>
      </c>
      <c r="L72">
        <v>126552</v>
      </c>
      <c r="M72">
        <v>937140</v>
      </c>
      <c r="N72">
        <v>842994</v>
      </c>
      <c r="O72">
        <v>94146</v>
      </c>
      <c r="P72">
        <v>10.050000000000001</v>
      </c>
      <c r="Q72">
        <v>8</v>
      </c>
      <c r="R72">
        <v>38096</v>
      </c>
      <c r="S72">
        <v>6.11</v>
      </c>
      <c r="T72">
        <v>59</v>
      </c>
      <c r="U72">
        <v>3.22</v>
      </c>
      <c r="V72">
        <v>106561</v>
      </c>
      <c r="W72">
        <v>1140541</v>
      </c>
      <c r="X72">
        <v>10.7</v>
      </c>
      <c r="Y72" t="s">
        <v>39</v>
      </c>
    </row>
    <row r="73" spans="1:25" x14ac:dyDescent="0.3">
      <c r="A73" t="s">
        <v>178</v>
      </c>
      <c r="B73" t="s">
        <v>179</v>
      </c>
      <c r="C73" t="s">
        <v>27</v>
      </c>
      <c r="D73" s="1">
        <v>45600</v>
      </c>
      <c r="E73">
        <v>147</v>
      </c>
      <c r="F73" t="s">
        <v>28</v>
      </c>
      <c r="G73">
        <v>5797</v>
      </c>
      <c r="H73">
        <v>3636</v>
      </c>
      <c r="I73">
        <v>104</v>
      </c>
      <c r="J73">
        <v>159</v>
      </c>
      <c r="K73">
        <v>921723</v>
      </c>
      <c r="L73">
        <v>110027</v>
      </c>
      <c r="M73">
        <v>811696</v>
      </c>
      <c r="N73">
        <v>578124</v>
      </c>
      <c r="O73">
        <v>233572</v>
      </c>
      <c r="P73">
        <v>28.78</v>
      </c>
      <c r="Q73">
        <v>3</v>
      </c>
      <c r="R73">
        <v>15651</v>
      </c>
      <c r="S73">
        <v>2.88</v>
      </c>
      <c r="T73">
        <v>45</v>
      </c>
      <c r="U73">
        <v>3.89</v>
      </c>
      <c r="V73">
        <v>635418</v>
      </c>
      <c r="W73">
        <v>5905787</v>
      </c>
      <c r="X73">
        <v>9.2899999999999991</v>
      </c>
      <c r="Y73" t="s">
        <v>39</v>
      </c>
    </row>
    <row r="74" spans="1:25" x14ac:dyDescent="0.3">
      <c r="A74" t="s">
        <v>180</v>
      </c>
      <c r="B74" t="s">
        <v>181</v>
      </c>
      <c r="C74" t="s">
        <v>27</v>
      </c>
      <c r="D74" s="1">
        <v>45219</v>
      </c>
      <c r="E74">
        <v>528</v>
      </c>
      <c r="F74" t="s">
        <v>28</v>
      </c>
      <c r="G74">
        <v>10521</v>
      </c>
      <c r="H74">
        <v>6742</v>
      </c>
      <c r="I74">
        <v>116</v>
      </c>
      <c r="J74">
        <v>169</v>
      </c>
      <c r="K74">
        <v>1778049</v>
      </c>
      <c r="L74">
        <v>239923</v>
      </c>
      <c r="M74">
        <v>1538126</v>
      </c>
      <c r="N74">
        <v>1139398</v>
      </c>
      <c r="O74">
        <v>398728</v>
      </c>
      <c r="P74">
        <v>25.92</v>
      </c>
      <c r="Q74">
        <v>9</v>
      </c>
      <c r="R74">
        <v>85212</v>
      </c>
      <c r="S74">
        <v>7.76</v>
      </c>
      <c r="T74">
        <v>58</v>
      </c>
      <c r="U74">
        <v>4.09</v>
      </c>
      <c r="V74">
        <v>659914</v>
      </c>
      <c r="W74">
        <v>6846018</v>
      </c>
      <c r="X74">
        <v>10.37</v>
      </c>
      <c r="Y74" t="s">
        <v>39</v>
      </c>
    </row>
    <row r="75" spans="1:25" x14ac:dyDescent="0.3">
      <c r="A75" t="s">
        <v>182</v>
      </c>
      <c r="B75" t="s">
        <v>183</v>
      </c>
      <c r="C75" t="s">
        <v>27</v>
      </c>
      <c r="D75" s="1">
        <v>45650</v>
      </c>
      <c r="E75">
        <v>97</v>
      </c>
      <c r="F75" t="s">
        <v>28</v>
      </c>
      <c r="G75">
        <v>19973</v>
      </c>
      <c r="H75">
        <v>10735</v>
      </c>
      <c r="I75">
        <v>53</v>
      </c>
      <c r="J75">
        <v>77</v>
      </c>
      <c r="K75">
        <v>1537921</v>
      </c>
      <c r="L75">
        <v>168649</v>
      </c>
      <c r="M75">
        <v>1369272</v>
      </c>
      <c r="N75">
        <v>826595</v>
      </c>
      <c r="O75">
        <v>542677</v>
      </c>
      <c r="P75">
        <v>39.630000000000003</v>
      </c>
      <c r="Q75">
        <v>3</v>
      </c>
      <c r="R75">
        <v>53925</v>
      </c>
      <c r="S75">
        <v>5.66</v>
      </c>
      <c r="T75">
        <v>22</v>
      </c>
      <c r="U75">
        <v>4.25</v>
      </c>
      <c r="V75">
        <v>246582</v>
      </c>
      <c r="W75">
        <v>7872856</v>
      </c>
      <c r="X75">
        <v>31.93</v>
      </c>
      <c r="Y75" t="s">
        <v>39</v>
      </c>
    </row>
    <row r="76" spans="1:25" x14ac:dyDescent="0.3">
      <c r="A76" t="s">
        <v>184</v>
      </c>
      <c r="B76" t="s">
        <v>185</v>
      </c>
      <c r="C76" t="s">
        <v>36</v>
      </c>
      <c r="D76" s="1">
        <v>44847</v>
      </c>
      <c r="E76">
        <v>900</v>
      </c>
      <c r="F76" t="s">
        <v>28</v>
      </c>
      <c r="G76">
        <v>16878</v>
      </c>
      <c r="H76">
        <v>10272</v>
      </c>
      <c r="I76">
        <v>25</v>
      </c>
      <c r="J76">
        <v>40</v>
      </c>
      <c r="K76">
        <v>675120</v>
      </c>
      <c r="L76">
        <v>100176</v>
      </c>
      <c r="M76">
        <v>574944</v>
      </c>
      <c r="N76">
        <v>410880</v>
      </c>
      <c r="O76">
        <v>164064</v>
      </c>
      <c r="P76">
        <v>28.54</v>
      </c>
      <c r="Q76">
        <v>1</v>
      </c>
      <c r="R76">
        <v>15190</v>
      </c>
      <c r="S76">
        <v>4</v>
      </c>
      <c r="T76">
        <v>12</v>
      </c>
      <c r="U76">
        <v>4.25</v>
      </c>
      <c r="V76">
        <v>97496</v>
      </c>
      <c r="W76">
        <v>2530919</v>
      </c>
      <c r="X76">
        <v>25.96</v>
      </c>
      <c r="Y76" t="s">
        <v>29</v>
      </c>
    </row>
    <row r="77" spans="1:25" x14ac:dyDescent="0.3">
      <c r="A77" t="s">
        <v>186</v>
      </c>
      <c r="B77" t="s">
        <v>187</v>
      </c>
      <c r="C77" t="s">
        <v>36</v>
      </c>
      <c r="D77" s="1">
        <v>45586</v>
      </c>
      <c r="E77">
        <v>161</v>
      </c>
      <c r="F77" t="s">
        <v>28</v>
      </c>
      <c r="G77">
        <v>5312</v>
      </c>
      <c r="H77">
        <v>3739</v>
      </c>
      <c r="I77">
        <v>117</v>
      </c>
      <c r="J77">
        <v>169</v>
      </c>
      <c r="K77">
        <v>897728</v>
      </c>
      <c r="L77">
        <v>124300</v>
      </c>
      <c r="M77">
        <v>773428</v>
      </c>
      <c r="N77">
        <v>631891</v>
      </c>
      <c r="O77">
        <v>141537</v>
      </c>
      <c r="P77">
        <v>18.3</v>
      </c>
      <c r="Q77">
        <v>7</v>
      </c>
      <c r="R77">
        <v>33460</v>
      </c>
      <c r="S77">
        <v>5.98</v>
      </c>
      <c r="T77">
        <v>52</v>
      </c>
      <c r="U77">
        <v>3.73</v>
      </c>
      <c r="V77">
        <v>336844</v>
      </c>
      <c r="W77">
        <v>2903629</v>
      </c>
      <c r="X77">
        <v>8.6199999999999992</v>
      </c>
      <c r="Y77" t="s">
        <v>39</v>
      </c>
    </row>
    <row r="78" spans="1:25" x14ac:dyDescent="0.3">
      <c r="A78" t="s">
        <v>188</v>
      </c>
      <c r="B78" t="s">
        <v>189</v>
      </c>
      <c r="C78" t="s">
        <v>36</v>
      </c>
      <c r="D78" s="1">
        <v>45441</v>
      </c>
      <c r="E78">
        <v>306</v>
      </c>
      <c r="F78" t="s">
        <v>28</v>
      </c>
      <c r="G78">
        <v>14571</v>
      </c>
      <c r="H78">
        <v>7699</v>
      </c>
      <c r="I78">
        <v>41</v>
      </c>
      <c r="J78">
        <v>63</v>
      </c>
      <c r="K78">
        <v>917973</v>
      </c>
      <c r="L78">
        <v>143836</v>
      </c>
      <c r="M78">
        <v>774137</v>
      </c>
      <c r="N78">
        <v>485037</v>
      </c>
      <c r="O78">
        <v>289100</v>
      </c>
      <c r="P78">
        <v>37.340000000000003</v>
      </c>
      <c r="Q78">
        <v>7</v>
      </c>
      <c r="R78">
        <v>91791</v>
      </c>
      <c r="S78">
        <v>17.07</v>
      </c>
      <c r="T78">
        <v>19</v>
      </c>
      <c r="U78">
        <v>4.16</v>
      </c>
      <c r="V78">
        <v>209017</v>
      </c>
      <c r="W78">
        <v>2759063</v>
      </c>
      <c r="X78">
        <v>13.2</v>
      </c>
      <c r="Y78" t="s">
        <v>39</v>
      </c>
    </row>
    <row r="79" spans="1:25" x14ac:dyDescent="0.3">
      <c r="A79" t="s">
        <v>190</v>
      </c>
      <c r="B79" t="s">
        <v>191</v>
      </c>
      <c r="C79" t="s">
        <v>36</v>
      </c>
      <c r="D79" s="1">
        <v>45418</v>
      </c>
      <c r="E79">
        <v>329</v>
      </c>
      <c r="F79" t="s">
        <v>28</v>
      </c>
      <c r="G79">
        <v>8289</v>
      </c>
      <c r="H79">
        <v>4660</v>
      </c>
      <c r="I79">
        <v>51</v>
      </c>
      <c r="J79">
        <v>76</v>
      </c>
      <c r="K79">
        <v>629964</v>
      </c>
      <c r="L79">
        <v>66345</v>
      </c>
      <c r="M79">
        <v>563619</v>
      </c>
      <c r="N79">
        <v>354160</v>
      </c>
      <c r="O79">
        <v>209459</v>
      </c>
      <c r="P79">
        <v>37.159999999999997</v>
      </c>
      <c r="Q79">
        <v>4</v>
      </c>
      <c r="R79">
        <v>29840</v>
      </c>
      <c r="S79">
        <v>7.84</v>
      </c>
      <c r="T79">
        <v>20</v>
      </c>
      <c r="U79">
        <v>4.43</v>
      </c>
      <c r="V79">
        <v>352452</v>
      </c>
      <c r="W79">
        <v>3544493</v>
      </c>
      <c r="X79">
        <v>10.06</v>
      </c>
      <c r="Y79" t="s">
        <v>39</v>
      </c>
    </row>
    <row r="80" spans="1:25" x14ac:dyDescent="0.3">
      <c r="A80" t="s">
        <v>192</v>
      </c>
      <c r="B80" t="s">
        <v>193</v>
      </c>
      <c r="C80" t="s">
        <v>36</v>
      </c>
      <c r="D80" s="1">
        <v>45445</v>
      </c>
      <c r="E80">
        <v>302</v>
      </c>
      <c r="F80" t="s">
        <v>28</v>
      </c>
      <c r="G80">
        <v>8764</v>
      </c>
      <c r="H80">
        <v>6545</v>
      </c>
      <c r="I80">
        <v>68</v>
      </c>
      <c r="J80">
        <v>100</v>
      </c>
      <c r="K80">
        <v>876400</v>
      </c>
      <c r="L80">
        <v>139301</v>
      </c>
      <c r="M80">
        <v>737099</v>
      </c>
      <c r="N80">
        <v>654500</v>
      </c>
      <c r="O80">
        <v>82599</v>
      </c>
      <c r="P80">
        <v>11.21</v>
      </c>
      <c r="Q80">
        <v>2</v>
      </c>
      <c r="R80">
        <v>15774</v>
      </c>
      <c r="S80">
        <v>2.94</v>
      </c>
      <c r="T80">
        <v>28</v>
      </c>
      <c r="U80">
        <v>3.3</v>
      </c>
      <c r="V80">
        <v>157873</v>
      </c>
      <c r="W80">
        <v>1145086</v>
      </c>
      <c r="X80">
        <v>7.25</v>
      </c>
      <c r="Y80" t="s">
        <v>39</v>
      </c>
    </row>
    <row r="81" spans="1:25" x14ac:dyDescent="0.3">
      <c r="A81" t="s">
        <v>194</v>
      </c>
      <c r="B81" t="s">
        <v>195</v>
      </c>
      <c r="C81" t="s">
        <v>36</v>
      </c>
      <c r="D81" s="1">
        <v>45081</v>
      </c>
      <c r="E81">
        <v>666</v>
      </c>
      <c r="F81" t="s">
        <v>28</v>
      </c>
      <c r="G81">
        <v>16308</v>
      </c>
      <c r="H81">
        <v>10602</v>
      </c>
      <c r="I81">
        <v>80</v>
      </c>
      <c r="J81">
        <v>120</v>
      </c>
      <c r="K81">
        <v>1956960</v>
      </c>
      <c r="L81">
        <v>329103</v>
      </c>
      <c r="M81">
        <v>1627857</v>
      </c>
      <c r="N81">
        <v>1272240</v>
      </c>
      <c r="O81">
        <v>355617</v>
      </c>
      <c r="P81">
        <v>21.85</v>
      </c>
      <c r="Q81">
        <v>2</v>
      </c>
      <c r="R81">
        <v>29354</v>
      </c>
      <c r="S81">
        <v>2.5</v>
      </c>
      <c r="T81">
        <v>36</v>
      </c>
      <c r="U81">
        <v>3.76</v>
      </c>
      <c r="V81">
        <v>245511</v>
      </c>
      <c r="W81">
        <v>5738116</v>
      </c>
      <c r="X81">
        <v>23.37</v>
      </c>
      <c r="Y81" t="s">
        <v>39</v>
      </c>
    </row>
    <row r="82" spans="1:25" x14ac:dyDescent="0.3">
      <c r="A82" t="s">
        <v>196</v>
      </c>
      <c r="B82" t="s">
        <v>197</v>
      </c>
      <c r="C82" t="s">
        <v>36</v>
      </c>
      <c r="D82" s="1">
        <v>45148</v>
      </c>
      <c r="E82">
        <v>599</v>
      </c>
      <c r="F82" t="s">
        <v>28</v>
      </c>
      <c r="G82">
        <v>13550</v>
      </c>
      <c r="H82">
        <v>7976</v>
      </c>
      <c r="I82">
        <v>98</v>
      </c>
      <c r="J82">
        <v>144</v>
      </c>
      <c r="K82">
        <v>1951200</v>
      </c>
      <c r="L82">
        <v>321454</v>
      </c>
      <c r="M82">
        <v>1629746</v>
      </c>
      <c r="N82">
        <v>1148544</v>
      </c>
      <c r="O82">
        <v>481202</v>
      </c>
      <c r="P82">
        <v>29.53</v>
      </c>
      <c r="Q82">
        <v>11</v>
      </c>
      <c r="R82">
        <v>134145</v>
      </c>
      <c r="S82">
        <v>11.22</v>
      </c>
      <c r="T82">
        <v>34</v>
      </c>
      <c r="U82">
        <v>3.81</v>
      </c>
      <c r="V82">
        <v>515529</v>
      </c>
      <c r="W82">
        <v>10036348</v>
      </c>
      <c r="X82">
        <v>19.47</v>
      </c>
      <c r="Y82" t="s">
        <v>39</v>
      </c>
    </row>
    <row r="83" spans="1:25" x14ac:dyDescent="0.3">
      <c r="A83" t="s">
        <v>198</v>
      </c>
      <c r="B83" t="s">
        <v>199</v>
      </c>
      <c r="C83" t="s">
        <v>36</v>
      </c>
      <c r="D83" s="1">
        <v>45299</v>
      </c>
      <c r="E83">
        <v>448</v>
      </c>
      <c r="F83" t="s">
        <v>28</v>
      </c>
      <c r="G83">
        <v>11138</v>
      </c>
      <c r="H83">
        <v>8260</v>
      </c>
      <c r="I83">
        <v>73</v>
      </c>
      <c r="J83">
        <v>116</v>
      </c>
      <c r="K83">
        <v>1292008</v>
      </c>
      <c r="L83">
        <v>240604</v>
      </c>
      <c r="M83">
        <v>1051404</v>
      </c>
      <c r="N83">
        <v>958160</v>
      </c>
      <c r="O83">
        <v>93244</v>
      </c>
      <c r="P83">
        <v>8.8699999999999992</v>
      </c>
      <c r="Q83">
        <v>4</v>
      </c>
      <c r="R83">
        <v>40096</v>
      </c>
      <c r="S83">
        <v>5.48</v>
      </c>
      <c r="T83">
        <v>32</v>
      </c>
      <c r="U83">
        <v>3.61</v>
      </c>
      <c r="V83">
        <v>463068</v>
      </c>
      <c r="W83">
        <v>5545902</v>
      </c>
      <c r="X83">
        <v>11.98</v>
      </c>
      <c r="Y83" t="s">
        <v>39</v>
      </c>
    </row>
    <row r="84" spans="1:25" x14ac:dyDescent="0.3">
      <c r="A84" t="s">
        <v>200</v>
      </c>
      <c r="B84" t="s">
        <v>201</v>
      </c>
      <c r="C84" t="s">
        <v>36</v>
      </c>
      <c r="D84" s="1">
        <v>45591</v>
      </c>
      <c r="E84">
        <v>156</v>
      </c>
      <c r="F84" t="s">
        <v>28</v>
      </c>
      <c r="G84">
        <v>6365</v>
      </c>
      <c r="H84">
        <v>5179</v>
      </c>
      <c r="I84">
        <v>60</v>
      </c>
      <c r="J84">
        <v>85</v>
      </c>
      <c r="K84">
        <v>541025</v>
      </c>
      <c r="L84">
        <v>95697</v>
      </c>
      <c r="M84">
        <v>445328</v>
      </c>
      <c r="N84">
        <v>440215</v>
      </c>
      <c r="O84">
        <v>5113</v>
      </c>
      <c r="P84">
        <v>1.1499999999999999</v>
      </c>
      <c r="Q84">
        <v>2</v>
      </c>
      <c r="R84">
        <v>11456</v>
      </c>
      <c r="S84">
        <v>3.33</v>
      </c>
      <c r="T84">
        <v>24</v>
      </c>
      <c r="U84">
        <v>3.15</v>
      </c>
      <c r="V84">
        <v>207105</v>
      </c>
      <c r="W84">
        <v>1937645</v>
      </c>
      <c r="X84">
        <v>9.36</v>
      </c>
      <c r="Y84" t="s">
        <v>39</v>
      </c>
    </row>
    <row r="85" spans="1:25" x14ac:dyDescent="0.3">
      <c r="A85" t="s">
        <v>202</v>
      </c>
      <c r="B85" t="s">
        <v>203</v>
      </c>
      <c r="C85" t="s">
        <v>36</v>
      </c>
      <c r="D85" s="1">
        <v>45204</v>
      </c>
      <c r="E85">
        <v>543</v>
      </c>
      <c r="F85" t="s">
        <v>28</v>
      </c>
      <c r="G85">
        <v>6659</v>
      </c>
      <c r="H85">
        <v>5105</v>
      </c>
      <c r="I85">
        <v>142</v>
      </c>
      <c r="J85">
        <v>224</v>
      </c>
      <c r="K85">
        <v>1491616</v>
      </c>
      <c r="L85">
        <v>262760</v>
      </c>
      <c r="M85">
        <v>1228856</v>
      </c>
      <c r="N85">
        <v>1143520</v>
      </c>
      <c r="O85">
        <v>85336</v>
      </c>
      <c r="P85">
        <v>6.94</v>
      </c>
      <c r="Q85">
        <v>19</v>
      </c>
      <c r="R85">
        <v>113867</v>
      </c>
      <c r="S85">
        <v>13.38</v>
      </c>
      <c r="T85">
        <v>46</v>
      </c>
      <c r="U85">
        <v>3.53</v>
      </c>
      <c r="V85">
        <v>550447</v>
      </c>
      <c r="W85">
        <v>5041807</v>
      </c>
      <c r="X85">
        <v>9.16</v>
      </c>
      <c r="Y85" t="s">
        <v>39</v>
      </c>
    </row>
    <row r="86" spans="1:25" x14ac:dyDescent="0.3">
      <c r="A86" t="s">
        <v>204</v>
      </c>
      <c r="B86" t="s">
        <v>205</v>
      </c>
      <c r="C86" t="s">
        <v>36</v>
      </c>
      <c r="D86" s="1">
        <v>44964</v>
      </c>
      <c r="E86">
        <v>783</v>
      </c>
      <c r="F86" t="s">
        <v>28</v>
      </c>
      <c r="G86">
        <v>18431</v>
      </c>
      <c r="H86">
        <v>14164</v>
      </c>
      <c r="I86">
        <v>41</v>
      </c>
      <c r="J86">
        <v>60</v>
      </c>
      <c r="K86">
        <v>1105860</v>
      </c>
      <c r="L86">
        <v>123285</v>
      </c>
      <c r="M86">
        <v>982575</v>
      </c>
      <c r="N86">
        <v>849840</v>
      </c>
      <c r="O86">
        <v>132735</v>
      </c>
      <c r="P86">
        <v>13.51</v>
      </c>
      <c r="Q86">
        <v>1</v>
      </c>
      <c r="R86">
        <v>16587</v>
      </c>
      <c r="S86">
        <v>2.44</v>
      </c>
      <c r="T86">
        <v>19</v>
      </c>
      <c r="U86">
        <v>2.87</v>
      </c>
      <c r="V86">
        <v>151511</v>
      </c>
      <c r="W86">
        <v>2940603</v>
      </c>
      <c r="X86">
        <v>19.41</v>
      </c>
      <c r="Y86" t="s">
        <v>39</v>
      </c>
    </row>
    <row r="87" spans="1:25" x14ac:dyDescent="0.3">
      <c r="A87" t="s">
        <v>206</v>
      </c>
      <c r="B87" t="s">
        <v>207</v>
      </c>
      <c r="C87" t="s">
        <v>36</v>
      </c>
      <c r="D87" s="1">
        <v>45023</v>
      </c>
      <c r="E87">
        <v>724</v>
      </c>
      <c r="F87" t="s">
        <v>28</v>
      </c>
      <c r="G87">
        <v>15985</v>
      </c>
      <c r="H87">
        <v>11218</v>
      </c>
      <c r="I87">
        <v>90</v>
      </c>
      <c r="J87">
        <v>137</v>
      </c>
      <c r="K87">
        <v>2189945</v>
      </c>
      <c r="L87">
        <v>362614</v>
      </c>
      <c r="M87">
        <v>1827331</v>
      </c>
      <c r="N87">
        <v>1536866</v>
      </c>
      <c r="O87">
        <v>290465</v>
      </c>
      <c r="P87">
        <v>15.9</v>
      </c>
      <c r="Q87">
        <v>5</v>
      </c>
      <c r="R87">
        <v>71930</v>
      </c>
      <c r="S87">
        <v>5.56</v>
      </c>
      <c r="T87">
        <v>36</v>
      </c>
      <c r="U87">
        <v>3.56</v>
      </c>
      <c r="V87">
        <v>420776</v>
      </c>
      <c r="W87">
        <v>6561150</v>
      </c>
      <c r="X87">
        <v>15.59</v>
      </c>
      <c r="Y87" t="s">
        <v>39</v>
      </c>
    </row>
    <row r="88" spans="1:25" x14ac:dyDescent="0.3">
      <c r="A88" t="s">
        <v>208</v>
      </c>
      <c r="B88" t="s">
        <v>209</v>
      </c>
      <c r="C88" t="s">
        <v>36</v>
      </c>
      <c r="D88" s="1">
        <v>45479</v>
      </c>
      <c r="E88">
        <v>268</v>
      </c>
      <c r="F88" t="s">
        <v>28</v>
      </c>
      <c r="G88">
        <v>16412</v>
      </c>
      <c r="H88">
        <v>14223</v>
      </c>
      <c r="I88">
        <v>90</v>
      </c>
      <c r="J88">
        <v>137</v>
      </c>
      <c r="K88">
        <v>2248444</v>
      </c>
      <c r="L88">
        <v>458442</v>
      </c>
      <c r="M88">
        <v>1790002</v>
      </c>
      <c r="N88">
        <v>1948551</v>
      </c>
      <c r="O88">
        <v>-158549</v>
      </c>
      <c r="P88">
        <v>-8.86</v>
      </c>
      <c r="Q88">
        <v>8</v>
      </c>
      <c r="R88">
        <v>118160</v>
      </c>
      <c r="S88">
        <v>8.89</v>
      </c>
      <c r="T88">
        <v>45</v>
      </c>
      <c r="U88">
        <v>3.11</v>
      </c>
      <c r="V88">
        <v>131318</v>
      </c>
      <c r="W88">
        <v>2281281</v>
      </c>
      <c r="X88">
        <v>17.37</v>
      </c>
      <c r="Y88" t="s">
        <v>39</v>
      </c>
    </row>
    <row r="89" spans="1:25" x14ac:dyDescent="0.3">
      <c r="A89" t="s">
        <v>210</v>
      </c>
      <c r="B89" t="s">
        <v>211</v>
      </c>
      <c r="C89" t="s">
        <v>36</v>
      </c>
      <c r="D89" s="1">
        <v>45261</v>
      </c>
      <c r="E89">
        <v>486</v>
      </c>
      <c r="F89" t="s">
        <v>28</v>
      </c>
      <c r="G89">
        <v>4180</v>
      </c>
      <c r="H89">
        <v>2712</v>
      </c>
      <c r="I89">
        <v>178</v>
      </c>
      <c r="J89">
        <v>266</v>
      </c>
      <c r="K89">
        <v>1111880</v>
      </c>
      <c r="L89">
        <v>142613</v>
      </c>
      <c r="M89">
        <v>969267</v>
      </c>
      <c r="N89">
        <v>721392</v>
      </c>
      <c r="O89">
        <v>247875</v>
      </c>
      <c r="P89">
        <v>25.57</v>
      </c>
      <c r="Q89">
        <v>14</v>
      </c>
      <c r="R89">
        <v>52668</v>
      </c>
      <c r="S89">
        <v>7.87</v>
      </c>
      <c r="T89">
        <v>72</v>
      </c>
      <c r="U89">
        <v>3.81</v>
      </c>
      <c r="V89">
        <v>133776</v>
      </c>
      <c r="W89">
        <v>609650</v>
      </c>
      <c r="X89">
        <v>4.5599999999999996</v>
      </c>
      <c r="Y89" t="s">
        <v>39</v>
      </c>
    </row>
    <row r="90" spans="1:25" x14ac:dyDescent="0.3">
      <c r="A90" t="s">
        <v>212</v>
      </c>
      <c r="B90" t="s">
        <v>213</v>
      </c>
      <c r="C90" t="s">
        <v>36</v>
      </c>
      <c r="D90" s="1">
        <v>45274</v>
      </c>
      <c r="E90">
        <v>473</v>
      </c>
      <c r="F90" t="s">
        <v>28</v>
      </c>
      <c r="G90">
        <v>10042</v>
      </c>
      <c r="H90">
        <v>5150</v>
      </c>
      <c r="I90">
        <v>46</v>
      </c>
      <c r="J90">
        <v>67</v>
      </c>
      <c r="K90">
        <v>672814</v>
      </c>
      <c r="L90">
        <v>124613</v>
      </c>
      <c r="M90">
        <v>548201</v>
      </c>
      <c r="N90">
        <v>345050</v>
      </c>
      <c r="O90">
        <v>203151</v>
      </c>
      <c r="P90">
        <v>37.06</v>
      </c>
      <c r="Q90">
        <v>4</v>
      </c>
      <c r="R90">
        <v>36148</v>
      </c>
      <c r="S90">
        <v>8.6999999999999993</v>
      </c>
      <c r="T90">
        <v>23</v>
      </c>
      <c r="U90">
        <v>4.24</v>
      </c>
      <c r="V90">
        <v>577363</v>
      </c>
      <c r="W90">
        <v>6464711</v>
      </c>
      <c r="X90">
        <v>11.2</v>
      </c>
      <c r="Y90" t="s">
        <v>39</v>
      </c>
    </row>
    <row r="91" spans="1:25" x14ac:dyDescent="0.3">
      <c r="A91" t="s">
        <v>214</v>
      </c>
      <c r="B91" t="s">
        <v>215</v>
      </c>
      <c r="C91" t="s">
        <v>36</v>
      </c>
      <c r="D91" s="1">
        <v>44918</v>
      </c>
      <c r="E91">
        <v>829</v>
      </c>
      <c r="F91" t="s">
        <v>28</v>
      </c>
      <c r="G91">
        <v>7213</v>
      </c>
      <c r="H91">
        <v>5632</v>
      </c>
      <c r="I91">
        <v>88</v>
      </c>
      <c r="J91">
        <v>130</v>
      </c>
      <c r="K91">
        <v>937690</v>
      </c>
      <c r="L91">
        <v>153724</v>
      </c>
      <c r="M91">
        <v>783966</v>
      </c>
      <c r="N91">
        <v>732160</v>
      </c>
      <c r="O91">
        <v>51806</v>
      </c>
      <c r="P91">
        <v>6.61</v>
      </c>
      <c r="Q91">
        <v>9</v>
      </c>
      <c r="R91">
        <v>58419</v>
      </c>
      <c r="S91">
        <v>10.23</v>
      </c>
      <c r="T91">
        <v>34</v>
      </c>
      <c r="U91">
        <v>3.38</v>
      </c>
      <c r="V91">
        <v>277529</v>
      </c>
      <c r="W91">
        <v>2788957</v>
      </c>
      <c r="X91">
        <v>10.050000000000001</v>
      </c>
      <c r="Y91" t="s">
        <v>39</v>
      </c>
    </row>
    <row r="92" spans="1:25" x14ac:dyDescent="0.3">
      <c r="A92" t="s">
        <v>216</v>
      </c>
      <c r="B92" t="s">
        <v>217</v>
      </c>
      <c r="C92" t="s">
        <v>36</v>
      </c>
      <c r="D92" s="1">
        <v>45072</v>
      </c>
      <c r="E92">
        <v>675</v>
      </c>
      <c r="F92" t="s">
        <v>28</v>
      </c>
      <c r="G92">
        <v>15697</v>
      </c>
      <c r="H92">
        <v>12069</v>
      </c>
      <c r="I92">
        <v>50</v>
      </c>
      <c r="J92">
        <v>79</v>
      </c>
      <c r="K92">
        <v>1240063</v>
      </c>
      <c r="L92">
        <v>184751</v>
      </c>
      <c r="M92">
        <v>1055312</v>
      </c>
      <c r="N92">
        <v>953451</v>
      </c>
      <c r="O92">
        <v>101861</v>
      </c>
      <c r="P92">
        <v>9.65</v>
      </c>
      <c r="Q92">
        <v>3</v>
      </c>
      <c r="R92">
        <v>42381</v>
      </c>
      <c r="S92">
        <v>6</v>
      </c>
      <c r="T92">
        <v>16</v>
      </c>
      <c r="U92">
        <v>3.28</v>
      </c>
      <c r="V92">
        <v>397755</v>
      </c>
      <c r="W92">
        <v>6035674</v>
      </c>
      <c r="X92">
        <v>15.17</v>
      </c>
      <c r="Y92" t="s">
        <v>39</v>
      </c>
    </row>
    <row r="93" spans="1:25" x14ac:dyDescent="0.3">
      <c r="A93" t="s">
        <v>218</v>
      </c>
      <c r="B93" t="s">
        <v>219</v>
      </c>
      <c r="C93" t="s">
        <v>36</v>
      </c>
      <c r="D93" s="1">
        <v>45037</v>
      </c>
      <c r="E93">
        <v>710</v>
      </c>
      <c r="F93" t="s">
        <v>28</v>
      </c>
      <c r="G93">
        <v>19625</v>
      </c>
      <c r="H93">
        <v>11823</v>
      </c>
      <c r="I93">
        <v>78</v>
      </c>
      <c r="J93">
        <v>117</v>
      </c>
      <c r="K93">
        <v>2296125</v>
      </c>
      <c r="L93">
        <v>406682</v>
      </c>
      <c r="M93">
        <v>1889443</v>
      </c>
      <c r="N93">
        <v>1383291</v>
      </c>
      <c r="O93">
        <v>506152</v>
      </c>
      <c r="P93">
        <v>26.79</v>
      </c>
      <c r="Q93">
        <v>6</v>
      </c>
      <c r="R93">
        <v>105972</v>
      </c>
      <c r="S93">
        <v>7.69</v>
      </c>
      <c r="T93">
        <v>31</v>
      </c>
      <c r="U93">
        <v>4.0599999999999996</v>
      </c>
      <c r="V93">
        <v>290403</v>
      </c>
      <c r="W93">
        <v>9865366</v>
      </c>
      <c r="X93">
        <v>33.97</v>
      </c>
      <c r="Y93" t="s">
        <v>39</v>
      </c>
    </row>
    <row r="94" spans="1:25" x14ac:dyDescent="0.3">
      <c r="A94" t="s">
        <v>220</v>
      </c>
      <c r="B94" t="s">
        <v>221</v>
      </c>
      <c r="C94" t="s">
        <v>36</v>
      </c>
      <c r="D94" s="1">
        <v>45149</v>
      </c>
      <c r="E94">
        <v>598</v>
      </c>
      <c r="F94" t="s">
        <v>28</v>
      </c>
      <c r="G94">
        <v>2253</v>
      </c>
      <c r="H94">
        <v>1859</v>
      </c>
      <c r="I94">
        <v>149</v>
      </c>
      <c r="J94">
        <v>225</v>
      </c>
      <c r="K94">
        <v>506925</v>
      </c>
      <c r="L94">
        <v>83954</v>
      </c>
      <c r="M94">
        <v>422971</v>
      </c>
      <c r="N94">
        <v>418275</v>
      </c>
      <c r="O94">
        <v>4696</v>
      </c>
      <c r="P94">
        <v>1.1100000000000001</v>
      </c>
      <c r="Q94">
        <v>8</v>
      </c>
      <c r="R94">
        <v>16216</v>
      </c>
      <c r="S94">
        <v>5.37</v>
      </c>
      <c r="T94">
        <v>62</v>
      </c>
      <c r="U94">
        <v>3.36</v>
      </c>
      <c r="V94">
        <v>470679</v>
      </c>
      <c r="W94">
        <v>1454760</v>
      </c>
      <c r="X94">
        <v>3.09</v>
      </c>
      <c r="Y94" t="s">
        <v>39</v>
      </c>
    </row>
    <row r="95" spans="1:25" x14ac:dyDescent="0.3">
      <c r="A95" t="s">
        <v>222</v>
      </c>
      <c r="B95" t="s">
        <v>223</v>
      </c>
      <c r="C95" t="s">
        <v>36</v>
      </c>
      <c r="D95" s="1">
        <v>45347</v>
      </c>
      <c r="E95">
        <v>400</v>
      </c>
      <c r="F95" t="s">
        <v>28</v>
      </c>
      <c r="G95">
        <v>13488</v>
      </c>
      <c r="H95">
        <v>6417</v>
      </c>
      <c r="I95">
        <v>94</v>
      </c>
      <c r="J95">
        <v>142</v>
      </c>
      <c r="K95">
        <v>1915296</v>
      </c>
      <c r="L95">
        <v>286918</v>
      </c>
      <c r="M95">
        <v>1628378</v>
      </c>
      <c r="N95">
        <v>911214</v>
      </c>
      <c r="O95">
        <v>717164</v>
      </c>
      <c r="P95">
        <v>44.04</v>
      </c>
      <c r="Q95">
        <v>1</v>
      </c>
      <c r="R95">
        <v>12139</v>
      </c>
      <c r="S95">
        <v>1.06</v>
      </c>
      <c r="T95">
        <v>31</v>
      </c>
      <c r="U95">
        <v>4.6100000000000003</v>
      </c>
      <c r="V95">
        <v>777178</v>
      </c>
      <c r="W95">
        <v>8632967</v>
      </c>
      <c r="X95">
        <v>11.11</v>
      </c>
      <c r="Y95" t="s">
        <v>29</v>
      </c>
    </row>
    <row r="96" spans="1:25" x14ac:dyDescent="0.3">
      <c r="A96" t="s">
        <v>224</v>
      </c>
      <c r="B96" t="s">
        <v>225</v>
      </c>
      <c r="C96" t="s">
        <v>36</v>
      </c>
      <c r="D96" s="1">
        <v>45069</v>
      </c>
      <c r="E96">
        <v>678</v>
      </c>
      <c r="F96" t="s">
        <v>28</v>
      </c>
      <c r="G96">
        <v>8503</v>
      </c>
      <c r="H96">
        <v>7553</v>
      </c>
      <c r="I96">
        <v>105</v>
      </c>
      <c r="J96">
        <v>150</v>
      </c>
      <c r="K96">
        <v>1275450</v>
      </c>
      <c r="L96">
        <v>124581</v>
      </c>
      <c r="M96">
        <v>1150869</v>
      </c>
      <c r="N96">
        <v>1132950</v>
      </c>
      <c r="O96">
        <v>17919</v>
      </c>
      <c r="P96">
        <v>1.56</v>
      </c>
      <c r="Q96">
        <v>2</v>
      </c>
      <c r="R96">
        <v>15304</v>
      </c>
      <c r="S96">
        <v>1.9</v>
      </c>
      <c r="T96">
        <v>37</v>
      </c>
      <c r="U96">
        <v>3.09</v>
      </c>
      <c r="V96">
        <v>730407</v>
      </c>
      <c r="W96">
        <v>6333594</v>
      </c>
      <c r="X96">
        <v>8.67</v>
      </c>
      <c r="Y96" t="s">
        <v>39</v>
      </c>
    </row>
    <row r="97" spans="1:25" x14ac:dyDescent="0.3">
      <c r="A97" t="s">
        <v>226</v>
      </c>
      <c r="B97" t="s">
        <v>227</v>
      </c>
      <c r="C97" t="s">
        <v>36</v>
      </c>
      <c r="D97" s="1">
        <v>45609</v>
      </c>
      <c r="E97">
        <v>138</v>
      </c>
      <c r="F97" t="s">
        <v>28</v>
      </c>
      <c r="G97">
        <v>19181</v>
      </c>
      <c r="H97">
        <v>16915</v>
      </c>
      <c r="I97">
        <v>76</v>
      </c>
      <c r="J97">
        <v>119</v>
      </c>
      <c r="K97">
        <v>2282539</v>
      </c>
      <c r="L97">
        <v>298690</v>
      </c>
      <c r="M97">
        <v>1983849</v>
      </c>
      <c r="N97">
        <v>2012885</v>
      </c>
      <c r="O97">
        <v>-29036</v>
      </c>
      <c r="P97">
        <v>-1.46</v>
      </c>
      <c r="Q97">
        <v>4</v>
      </c>
      <c r="R97">
        <v>69048</v>
      </c>
      <c r="S97">
        <v>5.26</v>
      </c>
      <c r="T97">
        <v>24</v>
      </c>
      <c r="U97">
        <v>2.9</v>
      </c>
      <c r="V97">
        <v>288710</v>
      </c>
      <c r="W97">
        <v>6716908</v>
      </c>
      <c r="X97">
        <v>23.27</v>
      </c>
      <c r="Y97" t="s">
        <v>39</v>
      </c>
    </row>
    <row r="98" spans="1:25" x14ac:dyDescent="0.3">
      <c r="A98" t="s">
        <v>228</v>
      </c>
      <c r="B98" t="s">
        <v>229</v>
      </c>
      <c r="C98" t="s">
        <v>36</v>
      </c>
      <c r="D98" s="1">
        <v>45338</v>
      </c>
      <c r="E98">
        <v>409</v>
      </c>
      <c r="F98" t="s">
        <v>28</v>
      </c>
      <c r="G98">
        <v>14582</v>
      </c>
      <c r="H98">
        <v>8958</v>
      </c>
      <c r="I98">
        <v>90</v>
      </c>
      <c r="J98">
        <v>134</v>
      </c>
      <c r="K98">
        <v>1953988</v>
      </c>
      <c r="L98">
        <v>214558</v>
      </c>
      <c r="M98">
        <v>1739430</v>
      </c>
      <c r="N98">
        <v>1200372</v>
      </c>
      <c r="O98">
        <v>539058</v>
      </c>
      <c r="P98">
        <v>30.99</v>
      </c>
      <c r="Q98">
        <v>3</v>
      </c>
      <c r="R98">
        <v>39369</v>
      </c>
      <c r="S98">
        <v>3.33</v>
      </c>
      <c r="T98">
        <v>43</v>
      </c>
      <c r="U98">
        <v>4.0999999999999996</v>
      </c>
      <c r="V98">
        <v>411110</v>
      </c>
      <c r="W98">
        <v>5727509</v>
      </c>
      <c r="X98">
        <v>13.93</v>
      </c>
      <c r="Y98" t="s">
        <v>29</v>
      </c>
    </row>
    <row r="99" spans="1:25" x14ac:dyDescent="0.3">
      <c r="A99" t="s">
        <v>230</v>
      </c>
      <c r="B99" t="s">
        <v>231</v>
      </c>
      <c r="C99" t="s">
        <v>36</v>
      </c>
      <c r="D99" s="1">
        <v>45342</v>
      </c>
      <c r="E99">
        <v>405</v>
      </c>
      <c r="F99" t="s">
        <v>28</v>
      </c>
      <c r="G99">
        <v>11106</v>
      </c>
      <c r="H99">
        <v>7938</v>
      </c>
      <c r="I99">
        <v>28</v>
      </c>
      <c r="J99">
        <v>44</v>
      </c>
      <c r="K99">
        <v>488664</v>
      </c>
      <c r="L99">
        <v>54687</v>
      </c>
      <c r="M99">
        <v>433977</v>
      </c>
      <c r="N99">
        <v>349272</v>
      </c>
      <c r="O99">
        <v>84705</v>
      </c>
      <c r="P99">
        <v>19.52</v>
      </c>
      <c r="Q99">
        <v>2</v>
      </c>
      <c r="R99">
        <v>19990</v>
      </c>
      <c r="S99">
        <v>7.14</v>
      </c>
      <c r="T99">
        <v>9</v>
      </c>
      <c r="U99">
        <v>3.72</v>
      </c>
      <c r="V99">
        <v>478662</v>
      </c>
      <c r="W99">
        <v>4742158</v>
      </c>
      <c r="X99">
        <v>9.91</v>
      </c>
      <c r="Y99" t="s">
        <v>39</v>
      </c>
    </row>
    <row r="100" spans="1:25" x14ac:dyDescent="0.3">
      <c r="A100" t="s">
        <v>232</v>
      </c>
      <c r="B100" t="s">
        <v>233</v>
      </c>
      <c r="C100" t="s">
        <v>36</v>
      </c>
      <c r="D100" s="1">
        <v>44953</v>
      </c>
      <c r="E100">
        <v>794</v>
      </c>
      <c r="F100" t="s">
        <v>28</v>
      </c>
      <c r="G100">
        <v>10605</v>
      </c>
      <c r="H100">
        <v>8339</v>
      </c>
      <c r="I100">
        <v>61</v>
      </c>
      <c r="J100">
        <v>95</v>
      </c>
      <c r="K100">
        <v>1007475</v>
      </c>
      <c r="L100">
        <v>74631</v>
      </c>
      <c r="M100">
        <v>932844</v>
      </c>
      <c r="N100">
        <v>792205</v>
      </c>
      <c r="O100">
        <v>140639</v>
      </c>
      <c r="P100">
        <v>15.08</v>
      </c>
      <c r="Q100">
        <v>2</v>
      </c>
      <c r="R100">
        <v>19088</v>
      </c>
      <c r="S100">
        <v>3.28</v>
      </c>
      <c r="T100">
        <v>21</v>
      </c>
      <c r="U100">
        <v>3.33</v>
      </c>
      <c r="V100">
        <v>185390</v>
      </c>
      <c r="W100">
        <v>1902979</v>
      </c>
      <c r="X100">
        <v>10.26</v>
      </c>
      <c r="Y100" t="s">
        <v>39</v>
      </c>
    </row>
    <row r="101" spans="1:25" x14ac:dyDescent="0.3">
      <c r="A101" t="s">
        <v>234</v>
      </c>
      <c r="B101" t="s">
        <v>235</v>
      </c>
      <c r="C101" t="s">
        <v>36</v>
      </c>
      <c r="D101" s="1">
        <v>45027</v>
      </c>
      <c r="E101">
        <v>720</v>
      </c>
      <c r="F101" t="s">
        <v>28</v>
      </c>
      <c r="G101">
        <v>15437</v>
      </c>
      <c r="H101">
        <v>11022</v>
      </c>
      <c r="I101">
        <v>74</v>
      </c>
      <c r="J101">
        <v>115</v>
      </c>
      <c r="K101">
        <v>1775255</v>
      </c>
      <c r="L101">
        <v>256329</v>
      </c>
      <c r="M101">
        <v>1518926</v>
      </c>
      <c r="N101">
        <v>1267530</v>
      </c>
      <c r="O101">
        <v>251396</v>
      </c>
      <c r="P101">
        <v>16.55</v>
      </c>
      <c r="Q101">
        <v>6</v>
      </c>
      <c r="R101">
        <v>83358</v>
      </c>
      <c r="S101">
        <v>8.11</v>
      </c>
      <c r="T101">
        <v>29</v>
      </c>
      <c r="U101">
        <v>3.62</v>
      </c>
      <c r="V101">
        <v>235438</v>
      </c>
      <c r="W101">
        <v>5526949</v>
      </c>
      <c r="X101">
        <v>23.48</v>
      </c>
      <c r="Y101" t="s">
        <v>39</v>
      </c>
    </row>
    <row r="102" spans="1:25" x14ac:dyDescent="0.3">
      <c r="A102" t="s">
        <v>236</v>
      </c>
      <c r="B102" t="s">
        <v>237</v>
      </c>
      <c r="C102" t="s">
        <v>36</v>
      </c>
      <c r="D102" s="1">
        <v>45129</v>
      </c>
      <c r="E102">
        <v>618</v>
      </c>
      <c r="F102" t="s">
        <v>28</v>
      </c>
      <c r="G102">
        <v>9049</v>
      </c>
      <c r="H102">
        <v>5907</v>
      </c>
      <c r="I102">
        <v>63</v>
      </c>
      <c r="J102">
        <v>95</v>
      </c>
      <c r="K102">
        <v>859655</v>
      </c>
      <c r="L102">
        <v>162389</v>
      </c>
      <c r="M102">
        <v>697266</v>
      </c>
      <c r="N102">
        <v>561165</v>
      </c>
      <c r="O102">
        <v>136101</v>
      </c>
      <c r="P102">
        <v>19.52</v>
      </c>
      <c r="Q102">
        <v>2</v>
      </c>
      <c r="R102">
        <v>16288</v>
      </c>
      <c r="S102">
        <v>3.17</v>
      </c>
      <c r="T102">
        <v>25</v>
      </c>
      <c r="U102">
        <v>4.04</v>
      </c>
      <c r="V102">
        <v>298928</v>
      </c>
      <c r="W102">
        <v>2655717</v>
      </c>
      <c r="X102">
        <v>8.8800000000000008</v>
      </c>
      <c r="Y102" t="s">
        <v>29</v>
      </c>
    </row>
    <row r="103" spans="1:25" x14ac:dyDescent="0.3">
      <c r="A103" t="s">
        <v>238</v>
      </c>
      <c r="B103" t="s">
        <v>239</v>
      </c>
      <c r="C103" t="s">
        <v>36</v>
      </c>
      <c r="D103" s="1">
        <v>44849</v>
      </c>
      <c r="E103">
        <v>898</v>
      </c>
      <c r="F103" t="s">
        <v>28</v>
      </c>
      <c r="G103">
        <v>5488</v>
      </c>
      <c r="H103">
        <v>4171</v>
      </c>
      <c r="I103">
        <v>126</v>
      </c>
      <c r="J103">
        <v>194</v>
      </c>
      <c r="K103">
        <v>1064672</v>
      </c>
      <c r="L103">
        <v>132365</v>
      </c>
      <c r="M103">
        <v>932307</v>
      </c>
      <c r="N103">
        <v>809174</v>
      </c>
      <c r="O103">
        <v>123133</v>
      </c>
      <c r="P103">
        <v>13.21</v>
      </c>
      <c r="Q103">
        <v>15</v>
      </c>
      <c r="R103">
        <v>74085</v>
      </c>
      <c r="S103">
        <v>11.9</v>
      </c>
      <c r="T103">
        <v>56</v>
      </c>
      <c r="U103">
        <v>3.57</v>
      </c>
      <c r="V103">
        <v>331412</v>
      </c>
      <c r="W103">
        <v>753771</v>
      </c>
      <c r="X103">
        <v>2.27</v>
      </c>
      <c r="Y103" t="s">
        <v>39</v>
      </c>
    </row>
    <row r="104" spans="1:25" x14ac:dyDescent="0.3">
      <c r="A104" t="s">
        <v>240</v>
      </c>
      <c r="B104" t="s">
        <v>241</v>
      </c>
      <c r="C104" t="s">
        <v>36</v>
      </c>
      <c r="D104" s="1">
        <v>45568</v>
      </c>
      <c r="E104">
        <v>179</v>
      </c>
      <c r="F104" t="s">
        <v>28</v>
      </c>
      <c r="G104">
        <v>5344</v>
      </c>
      <c r="H104">
        <v>3611</v>
      </c>
      <c r="I104">
        <v>159</v>
      </c>
      <c r="J104">
        <v>240</v>
      </c>
      <c r="K104">
        <v>1282560</v>
      </c>
      <c r="L104">
        <v>155383</v>
      </c>
      <c r="M104">
        <v>1127177</v>
      </c>
      <c r="N104">
        <v>866640</v>
      </c>
      <c r="O104">
        <v>260537</v>
      </c>
      <c r="P104">
        <v>23.11</v>
      </c>
      <c r="Q104">
        <v>6</v>
      </c>
      <c r="R104">
        <v>28854</v>
      </c>
      <c r="S104">
        <v>3.77</v>
      </c>
      <c r="T104">
        <v>62</v>
      </c>
      <c r="U104">
        <v>3.72</v>
      </c>
      <c r="V104">
        <v>318534</v>
      </c>
      <c r="W104">
        <v>1984977</v>
      </c>
      <c r="X104">
        <v>6.23</v>
      </c>
      <c r="Y104" t="s">
        <v>39</v>
      </c>
    </row>
    <row r="105" spans="1:25" x14ac:dyDescent="0.3">
      <c r="A105" t="s">
        <v>242</v>
      </c>
      <c r="B105" t="s">
        <v>243</v>
      </c>
      <c r="C105" t="s">
        <v>36</v>
      </c>
      <c r="D105" s="1">
        <v>45227</v>
      </c>
      <c r="E105">
        <v>520</v>
      </c>
      <c r="F105" t="s">
        <v>28</v>
      </c>
      <c r="G105">
        <v>15266</v>
      </c>
      <c r="H105">
        <v>9952</v>
      </c>
      <c r="I105">
        <v>72</v>
      </c>
      <c r="J105">
        <v>115</v>
      </c>
      <c r="K105">
        <v>1755590</v>
      </c>
      <c r="L105">
        <v>272858</v>
      </c>
      <c r="M105">
        <v>1482732</v>
      </c>
      <c r="N105">
        <v>1144480</v>
      </c>
      <c r="O105">
        <v>338252</v>
      </c>
      <c r="P105">
        <v>22.81</v>
      </c>
      <c r="Q105">
        <v>6</v>
      </c>
      <c r="R105">
        <v>82434</v>
      </c>
      <c r="S105">
        <v>8.33</v>
      </c>
      <c r="T105">
        <v>28</v>
      </c>
      <c r="U105">
        <v>3.57</v>
      </c>
      <c r="V105">
        <v>502581</v>
      </c>
      <c r="W105">
        <v>8156668</v>
      </c>
      <c r="X105">
        <v>16.23</v>
      </c>
      <c r="Y105" t="s">
        <v>39</v>
      </c>
    </row>
    <row r="106" spans="1:25" x14ac:dyDescent="0.3">
      <c r="A106" t="s">
        <v>244</v>
      </c>
      <c r="B106" t="s">
        <v>245</v>
      </c>
      <c r="C106" t="s">
        <v>36</v>
      </c>
      <c r="D106" s="1">
        <v>45641</v>
      </c>
      <c r="E106">
        <v>106</v>
      </c>
      <c r="F106" t="s">
        <v>28</v>
      </c>
      <c r="G106">
        <v>13895</v>
      </c>
      <c r="H106">
        <v>10380</v>
      </c>
      <c r="I106">
        <v>47</v>
      </c>
      <c r="J106">
        <v>70</v>
      </c>
      <c r="K106">
        <v>972650</v>
      </c>
      <c r="L106">
        <v>122655</v>
      </c>
      <c r="M106">
        <v>849995</v>
      </c>
      <c r="N106">
        <v>726600</v>
      </c>
      <c r="O106">
        <v>123395</v>
      </c>
      <c r="P106">
        <v>14.52</v>
      </c>
      <c r="Q106">
        <v>1</v>
      </c>
      <c r="R106">
        <v>12505</v>
      </c>
      <c r="S106">
        <v>2.13</v>
      </c>
      <c r="T106">
        <v>22</v>
      </c>
      <c r="U106">
        <v>3.66</v>
      </c>
      <c r="V106">
        <v>308116</v>
      </c>
      <c r="W106">
        <v>3395328</v>
      </c>
      <c r="X106">
        <v>11.02</v>
      </c>
      <c r="Y106" t="s">
        <v>39</v>
      </c>
    </row>
    <row r="107" spans="1:25" x14ac:dyDescent="0.3">
      <c r="A107" t="s">
        <v>246</v>
      </c>
      <c r="B107" t="s">
        <v>247</v>
      </c>
      <c r="C107" t="s">
        <v>36</v>
      </c>
      <c r="D107" s="1">
        <v>45292</v>
      </c>
      <c r="E107">
        <v>455</v>
      </c>
      <c r="F107" t="s">
        <v>28</v>
      </c>
      <c r="G107">
        <v>16343</v>
      </c>
      <c r="H107">
        <v>8345</v>
      </c>
      <c r="I107">
        <v>30</v>
      </c>
      <c r="J107">
        <v>48</v>
      </c>
      <c r="K107">
        <v>784464</v>
      </c>
      <c r="L107">
        <v>103217</v>
      </c>
      <c r="M107">
        <v>681247</v>
      </c>
      <c r="N107">
        <v>400560</v>
      </c>
      <c r="O107">
        <v>280687</v>
      </c>
      <c r="P107">
        <v>41.2</v>
      </c>
      <c r="Q107">
        <v>2</v>
      </c>
      <c r="R107">
        <v>29416</v>
      </c>
      <c r="S107">
        <v>6.67</v>
      </c>
      <c r="T107">
        <v>14</v>
      </c>
      <c r="U107">
        <v>4.29</v>
      </c>
      <c r="V107">
        <v>92302</v>
      </c>
      <c r="W107">
        <v>2268159</v>
      </c>
      <c r="X107">
        <v>24.57</v>
      </c>
      <c r="Y107" t="s">
        <v>61</v>
      </c>
    </row>
    <row r="108" spans="1:25" x14ac:dyDescent="0.3">
      <c r="A108" t="s">
        <v>248</v>
      </c>
      <c r="B108" t="s">
        <v>249</v>
      </c>
      <c r="C108" t="s">
        <v>36</v>
      </c>
      <c r="D108" s="1">
        <v>45079</v>
      </c>
      <c r="E108">
        <v>668</v>
      </c>
      <c r="F108" t="s">
        <v>28</v>
      </c>
      <c r="G108">
        <v>6480</v>
      </c>
      <c r="H108">
        <v>2972</v>
      </c>
      <c r="I108">
        <v>58</v>
      </c>
      <c r="J108">
        <v>86</v>
      </c>
      <c r="K108">
        <v>557280</v>
      </c>
      <c r="L108">
        <v>81924</v>
      </c>
      <c r="M108">
        <v>475356</v>
      </c>
      <c r="N108">
        <v>255592</v>
      </c>
      <c r="O108">
        <v>219764</v>
      </c>
      <c r="P108">
        <v>46.23</v>
      </c>
      <c r="Q108">
        <v>6</v>
      </c>
      <c r="R108">
        <v>34992</v>
      </c>
      <c r="S108">
        <v>10.34</v>
      </c>
      <c r="T108">
        <v>24</v>
      </c>
      <c r="U108">
        <v>4.5599999999999996</v>
      </c>
      <c r="V108">
        <v>515596</v>
      </c>
      <c r="W108">
        <v>4256436</v>
      </c>
      <c r="X108">
        <v>8.26</v>
      </c>
      <c r="Y108" t="s">
        <v>39</v>
      </c>
    </row>
    <row r="109" spans="1:25" x14ac:dyDescent="0.3">
      <c r="A109" t="s">
        <v>250</v>
      </c>
      <c r="B109" t="s">
        <v>251</v>
      </c>
      <c r="C109" t="s">
        <v>36</v>
      </c>
      <c r="D109" s="1">
        <v>45514</v>
      </c>
      <c r="E109">
        <v>233</v>
      </c>
      <c r="F109" t="s">
        <v>28</v>
      </c>
      <c r="G109">
        <v>12791</v>
      </c>
      <c r="H109">
        <v>9289</v>
      </c>
      <c r="I109">
        <v>93</v>
      </c>
      <c r="J109">
        <v>141</v>
      </c>
      <c r="K109">
        <v>1803531</v>
      </c>
      <c r="L109">
        <v>288456</v>
      </c>
      <c r="M109">
        <v>1515075</v>
      </c>
      <c r="N109">
        <v>1309749</v>
      </c>
      <c r="O109">
        <v>205326</v>
      </c>
      <c r="P109">
        <v>13.55</v>
      </c>
      <c r="Q109">
        <v>2</v>
      </c>
      <c r="R109">
        <v>23022</v>
      </c>
      <c r="S109">
        <v>2.15</v>
      </c>
      <c r="T109">
        <v>41</v>
      </c>
      <c r="U109">
        <v>3.73</v>
      </c>
      <c r="V109">
        <v>205030</v>
      </c>
      <c r="W109">
        <v>2454214</v>
      </c>
      <c r="X109">
        <v>11.97</v>
      </c>
      <c r="Y109" t="s">
        <v>39</v>
      </c>
    </row>
    <row r="110" spans="1:25" x14ac:dyDescent="0.3">
      <c r="A110" t="s">
        <v>252</v>
      </c>
      <c r="B110" t="s">
        <v>253</v>
      </c>
      <c r="C110" t="s">
        <v>36</v>
      </c>
      <c r="D110" s="1">
        <v>45285</v>
      </c>
      <c r="E110">
        <v>462</v>
      </c>
      <c r="F110" t="s">
        <v>28</v>
      </c>
      <c r="G110">
        <v>11177</v>
      </c>
      <c r="H110">
        <v>5685</v>
      </c>
      <c r="I110">
        <v>74</v>
      </c>
      <c r="J110">
        <v>118</v>
      </c>
      <c r="K110">
        <v>1318886</v>
      </c>
      <c r="L110">
        <v>205605</v>
      </c>
      <c r="M110">
        <v>1113281</v>
      </c>
      <c r="N110">
        <v>670830</v>
      </c>
      <c r="O110">
        <v>442451</v>
      </c>
      <c r="P110">
        <v>39.74</v>
      </c>
      <c r="Q110">
        <v>7</v>
      </c>
      <c r="R110">
        <v>70413</v>
      </c>
      <c r="S110">
        <v>9.4600000000000009</v>
      </c>
      <c r="T110">
        <v>21</v>
      </c>
      <c r="U110">
        <v>4.55</v>
      </c>
      <c r="V110">
        <v>649440</v>
      </c>
      <c r="W110">
        <v>6634881</v>
      </c>
      <c r="X110">
        <v>10.220000000000001</v>
      </c>
      <c r="Y110" t="s">
        <v>39</v>
      </c>
    </row>
    <row r="111" spans="1:25" x14ac:dyDescent="0.3">
      <c r="A111" t="s">
        <v>254</v>
      </c>
      <c r="B111" t="s">
        <v>255</v>
      </c>
      <c r="C111" t="s">
        <v>36</v>
      </c>
      <c r="D111" s="1">
        <v>45106</v>
      </c>
      <c r="E111">
        <v>641</v>
      </c>
      <c r="F111" t="s">
        <v>28</v>
      </c>
      <c r="G111">
        <v>2750</v>
      </c>
      <c r="H111">
        <v>1894</v>
      </c>
      <c r="I111">
        <v>138</v>
      </c>
      <c r="J111">
        <v>216</v>
      </c>
      <c r="K111">
        <v>594000</v>
      </c>
      <c r="L111">
        <v>99372</v>
      </c>
      <c r="M111">
        <v>494628</v>
      </c>
      <c r="N111">
        <v>409104</v>
      </c>
      <c r="O111">
        <v>85524</v>
      </c>
      <c r="P111">
        <v>17.29</v>
      </c>
      <c r="Q111">
        <v>5</v>
      </c>
      <c r="R111">
        <v>12375</v>
      </c>
      <c r="S111">
        <v>3.62</v>
      </c>
      <c r="T111">
        <v>55</v>
      </c>
      <c r="U111">
        <v>3.71</v>
      </c>
      <c r="V111">
        <v>372339</v>
      </c>
      <c r="W111">
        <v>901172</v>
      </c>
      <c r="X111">
        <v>2.42</v>
      </c>
      <c r="Y111" t="s">
        <v>39</v>
      </c>
    </row>
    <row r="112" spans="1:25" x14ac:dyDescent="0.3">
      <c r="A112" t="s">
        <v>256</v>
      </c>
      <c r="B112" t="s">
        <v>257</v>
      </c>
      <c r="C112" t="s">
        <v>36</v>
      </c>
      <c r="D112" s="1">
        <v>45476</v>
      </c>
      <c r="E112">
        <v>271</v>
      </c>
      <c r="F112" t="s">
        <v>28</v>
      </c>
      <c r="G112">
        <v>12751</v>
      </c>
      <c r="H112">
        <v>6001</v>
      </c>
      <c r="I112">
        <v>47</v>
      </c>
      <c r="J112">
        <v>71</v>
      </c>
      <c r="K112">
        <v>905321</v>
      </c>
      <c r="L112">
        <v>127362</v>
      </c>
      <c r="M112">
        <v>777959</v>
      </c>
      <c r="N112">
        <v>426071</v>
      </c>
      <c r="O112">
        <v>351888</v>
      </c>
      <c r="P112">
        <v>45.23</v>
      </c>
      <c r="Q112">
        <v>3</v>
      </c>
      <c r="R112">
        <v>34425</v>
      </c>
      <c r="S112">
        <v>6.38</v>
      </c>
      <c r="T112">
        <v>16</v>
      </c>
      <c r="U112">
        <v>4.66</v>
      </c>
      <c r="V112">
        <v>497718</v>
      </c>
      <c r="W112">
        <v>12225139</v>
      </c>
      <c r="X112">
        <v>24.56</v>
      </c>
      <c r="Y112" t="s">
        <v>39</v>
      </c>
    </row>
    <row r="113" spans="1:25" x14ac:dyDescent="0.3">
      <c r="A113" t="s">
        <v>258</v>
      </c>
      <c r="B113" t="s">
        <v>259</v>
      </c>
      <c r="C113" t="s">
        <v>36</v>
      </c>
      <c r="D113" s="1">
        <v>45599</v>
      </c>
      <c r="E113">
        <v>148</v>
      </c>
      <c r="F113" t="s">
        <v>28</v>
      </c>
      <c r="G113">
        <v>9715</v>
      </c>
      <c r="H113">
        <v>4383</v>
      </c>
      <c r="I113">
        <v>103</v>
      </c>
      <c r="J113">
        <v>152</v>
      </c>
      <c r="K113">
        <v>1476680</v>
      </c>
      <c r="L113">
        <v>179876</v>
      </c>
      <c r="M113">
        <v>1296804</v>
      </c>
      <c r="N113">
        <v>666216</v>
      </c>
      <c r="O113">
        <v>630588</v>
      </c>
      <c r="P113">
        <v>48.63</v>
      </c>
      <c r="Q113">
        <v>3</v>
      </c>
      <c r="R113">
        <v>26229</v>
      </c>
      <c r="S113">
        <v>2.91</v>
      </c>
      <c r="T113">
        <v>36</v>
      </c>
      <c r="U113">
        <v>4.5999999999999996</v>
      </c>
      <c r="V113">
        <v>643169</v>
      </c>
      <c r="W113">
        <v>8054885</v>
      </c>
      <c r="X113">
        <v>12.52</v>
      </c>
      <c r="Y113" t="s">
        <v>29</v>
      </c>
    </row>
    <row r="114" spans="1:25" x14ac:dyDescent="0.3">
      <c r="A114" t="s">
        <v>260</v>
      </c>
      <c r="B114" t="s">
        <v>261</v>
      </c>
      <c r="C114" t="s">
        <v>36</v>
      </c>
      <c r="D114" s="1">
        <v>44864</v>
      </c>
      <c r="E114">
        <v>883</v>
      </c>
      <c r="F114" t="s">
        <v>28</v>
      </c>
      <c r="G114">
        <v>5750</v>
      </c>
      <c r="H114">
        <v>3379</v>
      </c>
      <c r="I114">
        <v>130</v>
      </c>
      <c r="J114">
        <v>195</v>
      </c>
      <c r="K114">
        <v>1121250</v>
      </c>
      <c r="L114">
        <v>202736</v>
      </c>
      <c r="M114">
        <v>918514</v>
      </c>
      <c r="N114">
        <v>658905</v>
      </c>
      <c r="O114">
        <v>259609</v>
      </c>
      <c r="P114">
        <v>28.26</v>
      </c>
      <c r="Q114">
        <v>4</v>
      </c>
      <c r="R114">
        <v>20700</v>
      </c>
      <c r="S114">
        <v>3.08</v>
      </c>
      <c r="T114">
        <v>51</v>
      </c>
      <c r="U114">
        <v>4.21</v>
      </c>
      <c r="V114">
        <v>192799</v>
      </c>
      <c r="W114">
        <v>801679</v>
      </c>
      <c r="X114">
        <v>4.16</v>
      </c>
      <c r="Y114" t="s">
        <v>29</v>
      </c>
    </row>
    <row r="115" spans="1:25" x14ac:dyDescent="0.3">
      <c r="A115" t="s">
        <v>262</v>
      </c>
      <c r="B115" t="s">
        <v>263</v>
      </c>
      <c r="C115" t="s">
        <v>36</v>
      </c>
      <c r="D115" s="1">
        <v>45533</v>
      </c>
      <c r="E115">
        <v>214</v>
      </c>
      <c r="F115" t="s">
        <v>28</v>
      </c>
      <c r="G115">
        <v>17704</v>
      </c>
      <c r="H115">
        <v>12650</v>
      </c>
      <c r="I115">
        <v>72</v>
      </c>
      <c r="J115">
        <v>100</v>
      </c>
      <c r="K115">
        <v>1770400</v>
      </c>
      <c r="L115">
        <v>319715</v>
      </c>
      <c r="M115">
        <v>1450685</v>
      </c>
      <c r="N115">
        <v>1265000</v>
      </c>
      <c r="O115">
        <v>185685</v>
      </c>
      <c r="P115">
        <v>12.8</v>
      </c>
      <c r="Q115">
        <v>4</v>
      </c>
      <c r="R115">
        <v>63732</v>
      </c>
      <c r="S115">
        <v>5.56</v>
      </c>
      <c r="T115">
        <v>22</v>
      </c>
      <c r="U115">
        <v>3.57</v>
      </c>
      <c r="V115">
        <v>434873</v>
      </c>
      <c r="W115">
        <v>9804488</v>
      </c>
      <c r="X115">
        <v>22.55</v>
      </c>
      <c r="Y115" t="s">
        <v>39</v>
      </c>
    </row>
    <row r="116" spans="1:25" x14ac:dyDescent="0.3">
      <c r="A116" t="s">
        <v>264</v>
      </c>
      <c r="B116" t="s">
        <v>265</v>
      </c>
      <c r="C116" t="s">
        <v>36</v>
      </c>
      <c r="D116" s="1">
        <v>45307</v>
      </c>
      <c r="E116">
        <v>440</v>
      </c>
      <c r="F116" t="s">
        <v>28</v>
      </c>
      <c r="G116">
        <v>19407</v>
      </c>
      <c r="H116">
        <v>16216</v>
      </c>
      <c r="I116">
        <v>29</v>
      </c>
      <c r="J116">
        <v>43</v>
      </c>
      <c r="K116">
        <v>834501</v>
      </c>
      <c r="L116">
        <v>155279</v>
      </c>
      <c r="M116">
        <v>679222</v>
      </c>
      <c r="N116">
        <v>697288</v>
      </c>
      <c r="O116">
        <v>-18066</v>
      </c>
      <c r="P116">
        <v>-2.66</v>
      </c>
      <c r="Q116">
        <v>5</v>
      </c>
      <c r="R116">
        <v>87330</v>
      </c>
      <c r="S116">
        <v>17.239999999999998</v>
      </c>
      <c r="T116">
        <v>13</v>
      </c>
      <c r="U116">
        <v>2.77</v>
      </c>
      <c r="V116">
        <v>518545</v>
      </c>
      <c r="W116">
        <v>14175221</v>
      </c>
      <c r="X116">
        <v>27.34</v>
      </c>
      <c r="Y116" t="s">
        <v>39</v>
      </c>
    </row>
    <row r="117" spans="1:25" x14ac:dyDescent="0.3">
      <c r="A117" t="s">
        <v>266</v>
      </c>
      <c r="B117" t="s">
        <v>267</v>
      </c>
      <c r="C117" t="s">
        <v>36</v>
      </c>
      <c r="D117" s="1">
        <v>45188</v>
      </c>
      <c r="E117">
        <v>559</v>
      </c>
      <c r="F117" t="s">
        <v>28</v>
      </c>
      <c r="G117">
        <v>5475</v>
      </c>
      <c r="H117">
        <v>4745</v>
      </c>
      <c r="I117">
        <v>77</v>
      </c>
      <c r="J117">
        <v>118</v>
      </c>
      <c r="K117">
        <v>646050</v>
      </c>
      <c r="L117">
        <v>54220</v>
      </c>
      <c r="M117">
        <v>591830</v>
      </c>
      <c r="N117">
        <v>559910</v>
      </c>
      <c r="O117">
        <v>31920</v>
      </c>
      <c r="P117">
        <v>5.39</v>
      </c>
      <c r="Q117">
        <v>9</v>
      </c>
      <c r="R117">
        <v>44343</v>
      </c>
      <c r="S117">
        <v>11.69</v>
      </c>
      <c r="T117">
        <v>29</v>
      </c>
      <c r="U117">
        <v>3.21</v>
      </c>
      <c r="V117">
        <v>115271</v>
      </c>
      <c r="W117">
        <v>284547</v>
      </c>
      <c r="X117">
        <v>2.4700000000000002</v>
      </c>
      <c r="Y117" t="s">
        <v>39</v>
      </c>
    </row>
    <row r="118" spans="1:25" x14ac:dyDescent="0.3">
      <c r="A118" t="s">
        <v>268</v>
      </c>
      <c r="B118" t="s">
        <v>269</v>
      </c>
      <c r="C118" t="s">
        <v>36</v>
      </c>
      <c r="D118" s="1">
        <v>45329</v>
      </c>
      <c r="E118">
        <v>418</v>
      </c>
      <c r="F118" t="s">
        <v>28</v>
      </c>
      <c r="G118">
        <v>6826</v>
      </c>
      <c r="H118">
        <v>3073</v>
      </c>
      <c r="I118">
        <v>109</v>
      </c>
      <c r="J118">
        <v>169</v>
      </c>
      <c r="K118">
        <v>1153594</v>
      </c>
      <c r="L118">
        <v>184901</v>
      </c>
      <c r="M118">
        <v>968693</v>
      </c>
      <c r="N118">
        <v>519337</v>
      </c>
      <c r="O118">
        <v>449356</v>
      </c>
      <c r="P118">
        <v>46.39</v>
      </c>
      <c r="Q118">
        <v>8</v>
      </c>
      <c r="R118">
        <v>49144</v>
      </c>
      <c r="S118">
        <v>7.34</v>
      </c>
      <c r="T118">
        <v>43</v>
      </c>
      <c r="U118">
        <v>4.4800000000000004</v>
      </c>
      <c r="V118">
        <v>543988</v>
      </c>
      <c r="W118">
        <v>4772724</v>
      </c>
      <c r="X118">
        <v>8.77</v>
      </c>
      <c r="Y118" t="s">
        <v>39</v>
      </c>
    </row>
    <row r="119" spans="1:25" x14ac:dyDescent="0.3">
      <c r="A119" t="s">
        <v>270</v>
      </c>
      <c r="B119" t="s">
        <v>271</v>
      </c>
      <c r="C119" t="s">
        <v>36</v>
      </c>
      <c r="D119" s="1">
        <v>45509</v>
      </c>
      <c r="E119">
        <v>238</v>
      </c>
      <c r="F119" t="s">
        <v>28</v>
      </c>
      <c r="G119">
        <v>1017</v>
      </c>
      <c r="H119">
        <v>467</v>
      </c>
      <c r="I119">
        <v>131</v>
      </c>
      <c r="J119">
        <v>193</v>
      </c>
      <c r="K119">
        <v>196281</v>
      </c>
      <c r="L119">
        <v>24972</v>
      </c>
      <c r="M119">
        <v>171309</v>
      </c>
      <c r="N119">
        <v>90131</v>
      </c>
      <c r="O119">
        <v>81178</v>
      </c>
      <c r="P119">
        <v>47.39</v>
      </c>
      <c r="Q119">
        <v>8</v>
      </c>
      <c r="R119">
        <v>7320</v>
      </c>
      <c r="S119">
        <v>6.11</v>
      </c>
      <c r="T119">
        <v>45</v>
      </c>
      <c r="U119">
        <v>4.4400000000000004</v>
      </c>
      <c r="V119">
        <v>688759</v>
      </c>
      <c r="W119">
        <v>933110</v>
      </c>
      <c r="X119">
        <v>1.35</v>
      </c>
      <c r="Y119" t="s">
        <v>39</v>
      </c>
    </row>
    <row r="120" spans="1:25" x14ac:dyDescent="0.3">
      <c r="A120" t="s">
        <v>272</v>
      </c>
      <c r="B120" t="s">
        <v>273</v>
      </c>
      <c r="C120" t="s">
        <v>36</v>
      </c>
      <c r="D120" s="1">
        <v>45128</v>
      </c>
      <c r="E120">
        <v>619</v>
      </c>
      <c r="F120" t="s">
        <v>28</v>
      </c>
      <c r="G120">
        <v>16575</v>
      </c>
      <c r="H120">
        <v>8705</v>
      </c>
      <c r="I120">
        <v>51</v>
      </c>
      <c r="J120">
        <v>75</v>
      </c>
      <c r="K120">
        <v>1243125</v>
      </c>
      <c r="L120">
        <v>228947</v>
      </c>
      <c r="M120">
        <v>1014178</v>
      </c>
      <c r="N120">
        <v>652875</v>
      </c>
      <c r="O120">
        <v>361303</v>
      </c>
      <c r="P120">
        <v>35.630000000000003</v>
      </c>
      <c r="Q120">
        <v>3</v>
      </c>
      <c r="R120">
        <v>44751</v>
      </c>
      <c r="S120">
        <v>5.88</v>
      </c>
      <c r="T120">
        <v>22</v>
      </c>
      <c r="U120">
        <v>4.1399999999999997</v>
      </c>
      <c r="V120">
        <v>202131</v>
      </c>
      <c r="W120">
        <v>2011650</v>
      </c>
      <c r="X120">
        <v>9.9499999999999993</v>
      </c>
      <c r="Y120" t="s">
        <v>39</v>
      </c>
    </row>
    <row r="121" spans="1:25" x14ac:dyDescent="0.3">
      <c r="A121" t="s">
        <v>274</v>
      </c>
      <c r="B121" t="s">
        <v>275</v>
      </c>
      <c r="C121" t="s">
        <v>36</v>
      </c>
      <c r="D121" s="1">
        <v>45573</v>
      </c>
      <c r="E121">
        <v>174</v>
      </c>
      <c r="F121" t="s">
        <v>28</v>
      </c>
      <c r="G121">
        <v>8511</v>
      </c>
      <c r="H121">
        <v>5064</v>
      </c>
      <c r="I121">
        <v>58</v>
      </c>
      <c r="J121">
        <v>84</v>
      </c>
      <c r="K121">
        <v>714924</v>
      </c>
      <c r="L121">
        <v>92812</v>
      </c>
      <c r="M121">
        <v>622112</v>
      </c>
      <c r="N121">
        <v>425376</v>
      </c>
      <c r="O121">
        <v>196736</v>
      </c>
      <c r="P121">
        <v>31.62</v>
      </c>
      <c r="Q121">
        <v>10</v>
      </c>
      <c r="R121">
        <v>76590</v>
      </c>
      <c r="S121">
        <v>17.239999999999998</v>
      </c>
      <c r="T121">
        <v>25</v>
      </c>
      <c r="U121">
        <v>3.94</v>
      </c>
      <c r="V121">
        <v>238203</v>
      </c>
      <c r="W121">
        <v>2710343</v>
      </c>
      <c r="X121">
        <v>11.38</v>
      </c>
      <c r="Y121" t="s">
        <v>39</v>
      </c>
    </row>
    <row r="122" spans="1:25" x14ac:dyDescent="0.3">
      <c r="A122" t="s">
        <v>276</v>
      </c>
      <c r="B122" t="s">
        <v>277</v>
      </c>
      <c r="C122" t="s">
        <v>36</v>
      </c>
      <c r="D122" s="1">
        <v>44869</v>
      </c>
      <c r="E122">
        <v>878</v>
      </c>
      <c r="F122" t="s">
        <v>28</v>
      </c>
      <c r="G122">
        <v>10422</v>
      </c>
      <c r="H122">
        <v>5681</v>
      </c>
      <c r="I122">
        <v>48</v>
      </c>
      <c r="J122">
        <v>70</v>
      </c>
      <c r="K122">
        <v>729540</v>
      </c>
      <c r="L122">
        <v>109259</v>
      </c>
      <c r="M122">
        <v>620281</v>
      </c>
      <c r="N122">
        <v>397670</v>
      </c>
      <c r="O122">
        <v>222611</v>
      </c>
      <c r="P122">
        <v>35.89</v>
      </c>
      <c r="Q122">
        <v>4</v>
      </c>
      <c r="R122">
        <v>37516</v>
      </c>
      <c r="S122">
        <v>8.33</v>
      </c>
      <c r="T122">
        <v>23</v>
      </c>
      <c r="U122">
        <v>4.1500000000000004</v>
      </c>
      <c r="V122">
        <v>648725</v>
      </c>
      <c r="W122">
        <v>7756865</v>
      </c>
      <c r="X122">
        <v>11.96</v>
      </c>
      <c r="Y122" t="s">
        <v>39</v>
      </c>
    </row>
    <row r="123" spans="1:25" x14ac:dyDescent="0.3">
      <c r="A123" t="s">
        <v>278</v>
      </c>
      <c r="B123" t="s">
        <v>279</v>
      </c>
      <c r="C123" t="s">
        <v>36</v>
      </c>
      <c r="D123" s="1">
        <v>45640</v>
      </c>
      <c r="E123">
        <v>107</v>
      </c>
      <c r="F123" t="s">
        <v>28</v>
      </c>
      <c r="G123">
        <v>6054</v>
      </c>
      <c r="H123">
        <v>4901</v>
      </c>
      <c r="I123">
        <v>80</v>
      </c>
      <c r="J123">
        <v>116</v>
      </c>
      <c r="K123">
        <v>702264</v>
      </c>
      <c r="L123">
        <v>133626</v>
      </c>
      <c r="M123">
        <v>568638</v>
      </c>
      <c r="N123">
        <v>568516</v>
      </c>
      <c r="O123">
        <v>122</v>
      </c>
      <c r="P123">
        <v>0.02</v>
      </c>
      <c r="Q123">
        <v>3</v>
      </c>
      <c r="R123">
        <v>16344</v>
      </c>
      <c r="S123">
        <v>3.75</v>
      </c>
      <c r="T123">
        <v>31</v>
      </c>
      <c r="U123">
        <v>3.35</v>
      </c>
      <c r="V123">
        <v>201732</v>
      </c>
      <c r="W123">
        <v>1169990</v>
      </c>
      <c r="X123">
        <v>5.8</v>
      </c>
      <c r="Y123" t="s">
        <v>39</v>
      </c>
    </row>
    <row r="124" spans="1:25" x14ac:dyDescent="0.3">
      <c r="A124" t="s">
        <v>280</v>
      </c>
      <c r="B124" t="s">
        <v>281</v>
      </c>
      <c r="C124" t="s">
        <v>36</v>
      </c>
      <c r="D124" s="1">
        <v>45137</v>
      </c>
      <c r="E124">
        <v>610</v>
      </c>
      <c r="F124" t="s">
        <v>28</v>
      </c>
      <c r="G124">
        <v>16088</v>
      </c>
      <c r="H124">
        <v>7475</v>
      </c>
      <c r="I124">
        <v>77</v>
      </c>
      <c r="J124">
        <v>118</v>
      </c>
      <c r="K124">
        <v>1898384</v>
      </c>
      <c r="L124">
        <v>275427</v>
      </c>
      <c r="M124">
        <v>1622957</v>
      </c>
      <c r="N124">
        <v>882050</v>
      </c>
      <c r="O124">
        <v>740907</v>
      </c>
      <c r="P124">
        <v>45.65</v>
      </c>
      <c r="Q124">
        <v>5</v>
      </c>
      <c r="R124">
        <v>72395</v>
      </c>
      <c r="S124">
        <v>6.49</v>
      </c>
      <c r="T124">
        <v>28</v>
      </c>
      <c r="U124">
        <v>4.3899999999999997</v>
      </c>
      <c r="V124">
        <v>420201</v>
      </c>
      <c r="W124">
        <v>9524813</v>
      </c>
      <c r="X124">
        <v>22.67</v>
      </c>
      <c r="Y124" t="s">
        <v>39</v>
      </c>
    </row>
    <row r="125" spans="1:25" x14ac:dyDescent="0.3">
      <c r="A125" t="s">
        <v>282</v>
      </c>
      <c r="B125" t="s">
        <v>283</v>
      </c>
      <c r="C125" t="s">
        <v>36</v>
      </c>
      <c r="D125" s="1">
        <v>45405</v>
      </c>
      <c r="E125">
        <v>342</v>
      </c>
      <c r="F125" t="s">
        <v>28</v>
      </c>
      <c r="G125">
        <v>13321</v>
      </c>
      <c r="H125">
        <v>6190</v>
      </c>
      <c r="I125">
        <v>61</v>
      </c>
      <c r="J125">
        <v>82</v>
      </c>
      <c r="K125">
        <v>1092322</v>
      </c>
      <c r="L125">
        <v>154385</v>
      </c>
      <c r="M125">
        <v>937937</v>
      </c>
      <c r="N125">
        <v>507580</v>
      </c>
      <c r="O125">
        <v>430357</v>
      </c>
      <c r="P125">
        <v>45.88</v>
      </c>
      <c r="Q125">
        <v>11</v>
      </c>
      <c r="R125">
        <v>131868</v>
      </c>
      <c r="S125">
        <v>18.03</v>
      </c>
      <c r="T125">
        <v>26</v>
      </c>
      <c r="U125">
        <v>4.54</v>
      </c>
      <c r="V125">
        <v>394126</v>
      </c>
      <c r="W125">
        <v>8861555</v>
      </c>
      <c r="X125">
        <v>22.48</v>
      </c>
      <c r="Y125" t="s">
        <v>39</v>
      </c>
    </row>
    <row r="126" spans="1:25" x14ac:dyDescent="0.3">
      <c r="A126" t="s">
        <v>284</v>
      </c>
      <c r="B126" t="s">
        <v>285</v>
      </c>
      <c r="C126" t="s">
        <v>36</v>
      </c>
      <c r="D126" s="1">
        <v>45488</v>
      </c>
      <c r="E126">
        <v>259</v>
      </c>
      <c r="F126" t="s">
        <v>28</v>
      </c>
      <c r="G126">
        <v>19453</v>
      </c>
      <c r="H126">
        <v>14172</v>
      </c>
      <c r="I126">
        <v>44</v>
      </c>
      <c r="J126">
        <v>71</v>
      </c>
      <c r="K126">
        <v>1381163</v>
      </c>
      <c r="L126">
        <v>236883</v>
      </c>
      <c r="M126">
        <v>1144280</v>
      </c>
      <c r="N126">
        <v>1006212</v>
      </c>
      <c r="O126">
        <v>138068</v>
      </c>
      <c r="P126">
        <v>12.07</v>
      </c>
      <c r="Q126">
        <v>0</v>
      </c>
      <c r="R126">
        <v>0</v>
      </c>
      <c r="S126">
        <v>0</v>
      </c>
      <c r="T126">
        <v>12</v>
      </c>
      <c r="U126">
        <v>3.54</v>
      </c>
      <c r="V126">
        <v>137204</v>
      </c>
      <c r="W126">
        <v>2751680</v>
      </c>
      <c r="X126">
        <v>20.059999999999999</v>
      </c>
      <c r="Y126" t="s">
        <v>39</v>
      </c>
    </row>
    <row r="127" spans="1:25" x14ac:dyDescent="0.3">
      <c r="A127" t="s">
        <v>286</v>
      </c>
      <c r="B127" t="s">
        <v>287</v>
      </c>
      <c r="C127" t="s">
        <v>36</v>
      </c>
      <c r="D127" s="1">
        <v>45061</v>
      </c>
      <c r="E127">
        <v>686</v>
      </c>
      <c r="F127" t="s">
        <v>28</v>
      </c>
      <c r="G127">
        <v>11047</v>
      </c>
      <c r="H127">
        <v>5392</v>
      </c>
      <c r="I127">
        <v>104</v>
      </c>
      <c r="J127">
        <v>153</v>
      </c>
      <c r="K127">
        <v>1690191</v>
      </c>
      <c r="L127">
        <v>249272</v>
      </c>
      <c r="M127">
        <v>1440919</v>
      </c>
      <c r="N127">
        <v>824976</v>
      </c>
      <c r="O127">
        <v>615943</v>
      </c>
      <c r="P127">
        <v>42.75</v>
      </c>
      <c r="Q127">
        <v>7</v>
      </c>
      <c r="R127">
        <v>69594</v>
      </c>
      <c r="S127">
        <v>6.73</v>
      </c>
      <c r="T127">
        <v>46</v>
      </c>
      <c r="U127">
        <v>4.3499999999999996</v>
      </c>
      <c r="V127">
        <v>706297</v>
      </c>
      <c r="W127">
        <v>7938233</v>
      </c>
      <c r="X127">
        <v>11.24</v>
      </c>
      <c r="Y127" t="s">
        <v>39</v>
      </c>
    </row>
    <row r="128" spans="1:25" x14ac:dyDescent="0.3">
      <c r="A128" t="s">
        <v>288</v>
      </c>
      <c r="B128" t="s">
        <v>289</v>
      </c>
      <c r="C128" t="s">
        <v>36</v>
      </c>
      <c r="D128" s="1">
        <v>44873</v>
      </c>
      <c r="E128">
        <v>874</v>
      </c>
      <c r="F128" t="s">
        <v>28</v>
      </c>
      <c r="G128">
        <v>4122</v>
      </c>
      <c r="H128">
        <v>3450</v>
      </c>
      <c r="I128">
        <v>154</v>
      </c>
      <c r="J128">
        <v>226</v>
      </c>
      <c r="K128">
        <v>931572</v>
      </c>
      <c r="L128">
        <v>111627</v>
      </c>
      <c r="M128">
        <v>819945</v>
      </c>
      <c r="N128">
        <v>779700</v>
      </c>
      <c r="O128">
        <v>40245</v>
      </c>
      <c r="P128">
        <v>4.91</v>
      </c>
      <c r="Q128">
        <v>6</v>
      </c>
      <c r="R128">
        <v>22254</v>
      </c>
      <c r="S128">
        <v>3.9</v>
      </c>
      <c r="T128">
        <v>55</v>
      </c>
      <c r="U128">
        <v>3.06</v>
      </c>
      <c r="V128">
        <v>79637</v>
      </c>
      <c r="W128">
        <v>466587</v>
      </c>
      <c r="X128">
        <v>5.86</v>
      </c>
      <c r="Y128" t="s">
        <v>39</v>
      </c>
    </row>
    <row r="129" spans="1:25" x14ac:dyDescent="0.3">
      <c r="A129" t="s">
        <v>290</v>
      </c>
      <c r="B129" t="s">
        <v>291</v>
      </c>
      <c r="C129" t="s">
        <v>36</v>
      </c>
      <c r="D129" s="1">
        <v>45595</v>
      </c>
      <c r="E129">
        <v>152</v>
      </c>
      <c r="F129" t="s">
        <v>28</v>
      </c>
      <c r="G129">
        <v>12456</v>
      </c>
      <c r="H129">
        <v>7452</v>
      </c>
      <c r="I129">
        <v>59</v>
      </c>
      <c r="J129">
        <v>91</v>
      </c>
      <c r="K129">
        <v>1133496</v>
      </c>
      <c r="L129">
        <v>143545</v>
      </c>
      <c r="M129">
        <v>989951</v>
      </c>
      <c r="N129">
        <v>678132</v>
      </c>
      <c r="O129">
        <v>311819</v>
      </c>
      <c r="P129">
        <v>31.5</v>
      </c>
      <c r="Q129">
        <v>4</v>
      </c>
      <c r="R129">
        <v>44840</v>
      </c>
      <c r="S129">
        <v>6.78</v>
      </c>
      <c r="T129">
        <v>20</v>
      </c>
      <c r="U129">
        <v>3.85</v>
      </c>
      <c r="V129">
        <v>85557</v>
      </c>
      <c r="W129">
        <v>1936989</v>
      </c>
      <c r="X129">
        <v>22.64</v>
      </c>
      <c r="Y129" t="s">
        <v>39</v>
      </c>
    </row>
    <row r="130" spans="1:25" x14ac:dyDescent="0.3">
      <c r="A130" t="s">
        <v>292</v>
      </c>
      <c r="B130" t="s">
        <v>293</v>
      </c>
      <c r="C130" t="s">
        <v>36</v>
      </c>
      <c r="D130" s="1">
        <v>45465</v>
      </c>
      <c r="E130">
        <v>282</v>
      </c>
      <c r="F130" t="s">
        <v>28</v>
      </c>
      <c r="G130">
        <v>3543</v>
      </c>
      <c r="H130">
        <v>1859</v>
      </c>
      <c r="I130">
        <v>119</v>
      </c>
      <c r="J130">
        <v>179</v>
      </c>
      <c r="K130">
        <v>634197</v>
      </c>
      <c r="L130">
        <v>107190</v>
      </c>
      <c r="M130">
        <v>527007</v>
      </c>
      <c r="N130">
        <v>332761</v>
      </c>
      <c r="O130">
        <v>194246</v>
      </c>
      <c r="P130">
        <v>36.86</v>
      </c>
      <c r="Q130">
        <v>12</v>
      </c>
      <c r="R130">
        <v>38256</v>
      </c>
      <c r="S130">
        <v>10.08</v>
      </c>
      <c r="T130">
        <v>54</v>
      </c>
      <c r="U130">
        <v>4.28</v>
      </c>
      <c r="V130">
        <v>600239</v>
      </c>
      <c r="W130">
        <v>1683216</v>
      </c>
      <c r="X130">
        <v>2.8</v>
      </c>
      <c r="Y130" t="s">
        <v>39</v>
      </c>
    </row>
    <row r="131" spans="1:25" x14ac:dyDescent="0.3">
      <c r="A131" t="s">
        <v>294</v>
      </c>
      <c r="B131" t="s">
        <v>295</v>
      </c>
      <c r="C131" t="s">
        <v>36</v>
      </c>
      <c r="D131" s="1">
        <v>45537</v>
      </c>
      <c r="E131">
        <v>210</v>
      </c>
      <c r="F131" t="s">
        <v>28</v>
      </c>
      <c r="G131">
        <v>12183</v>
      </c>
      <c r="H131">
        <v>10420</v>
      </c>
      <c r="I131">
        <v>63</v>
      </c>
      <c r="J131">
        <v>92</v>
      </c>
      <c r="K131">
        <v>1120836</v>
      </c>
      <c r="L131">
        <v>144402</v>
      </c>
      <c r="M131">
        <v>976434</v>
      </c>
      <c r="N131">
        <v>958640</v>
      </c>
      <c r="O131">
        <v>17794</v>
      </c>
      <c r="P131">
        <v>1.82</v>
      </c>
      <c r="Q131">
        <v>4</v>
      </c>
      <c r="R131">
        <v>43856</v>
      </c>
      <c r="S131">
        <v>6.35</v>
      </c>
      <c r="T131">
        <v>22</v>
      </c>
      <c r="U131">
        <v>3.2</v>
      </c>
      <c r="V131">
        <v>316961</v>
      </c>
      <c r="W131">
        <v>5011271</v>
      </c>
      <c r="X131">
        <v>15.81</v>
      </c>
      <c r="Y131" t="s">
        <v>39</v>
      </c>
    </row>
    <row r="132" spans="1:25" x14ac:dyDescent="0.3">
      <c r="A132" t="s">
        <v>296</v>
      </c>
      <c r="B132" t="s">
        <v>297</v>
      </c>
      <c r="C132" t="s">
        <v>36</v>
      </c>
      <c r="D132" s="1">
        <v>45300</v>
      </c>
      <c r="E132">
        <v>447</v>
      </c>
      <c r="F132" t="s">
        <v>28</v>
      </c>
      <c r="G132">
        <v>4301</v>
      </c>
      <c r="H132">
        <v>2034</v>
      </c>
      <c r="I132">
        <v>85</v>
      </c>
      <c r="J132">
        <v>126</v>
      </c>
      <c r="K132">
        <v>541926</v>
      </c>
      <c r="L132">
        <v>95553</v>
      </c>
      <c r="M132">
        <v>446373</v>
      </c>
      <c r="N132">
        <v>256284</v>
      </c>
      <c r="O132">
        <v>190089</v>
      </c>
      <c r="P132">
        <v>42.59</v>
      </c>
      <c r="Q132">
        <v>4</v>
      </c>
      <c r="R132">
        <v>15480</v>
      </c>
      <c r="S132">
        <v>4.71</v>
      </c>
      <c r="T132">
        <v>36</v>
      </c>
      <c r="U132">
        <v>4.43</v>
      </c>
      <c r="V132">
        <v>518311</v>
      </c>
      <c r="W132">
        <v>2071296</v>
      </c>
      <c r="X132">
        <v>4</v>
      </c>
      <c r="Y132" t="s">
        <v>29</v>
      </c>
    </row>
    <row r="133" spans="1:25" x14ac:dyDescent="0.3">
      <c r="A133" t="s">
        <v>298</v>
      </c>
      <c r="B133" t="s">
        <v>299</v>
      </c>
      <c r="C133" t="s">
        <v>36</v>
      </c>
      <c r="D133" s="1">
        <v>45640</v>
      </c>
      <c r="E133">
        <v>107</v>
      </c>
      <c r="F133" t="s">
        <v>28</v>
      </c>
      <c r="G133">
        <v>8280</v>
      </c>
      <c r="H133">
        <v>3767</v>
      </c>
      <c r="I133">
        <v>124</v>
      </c>
      <c r="J133">
        <v>185</v>
      </c>
      <c r="K133">
        <v>1531800</v>
      </c>
      <c r="L133">
        <v>194437</v>
      </c>
      <c r="M133">
        <v>1337363</v>
      </c>
      <c r="N133">
        <v>696895</v>
      </c>
      <c r="O133">
        <v>640468</v>
      </c>
      <c r="P133">
        <v>47.89</v>
      </c>
      <c r="Q133">
        <v>4</v>
      </c>
      <c r="R133">
        <v>29808</v>
      </c>
      <c r="S133">
        <v>3.23</v>
      </c>
      <c r="T133">
        <v>39</v>
      </c>
      <c r="U133">
        <v>4.5599999999999996</v>
      </c>
      <c r="V133">
        <v>285995</v>
      </c>
      <c r="W133">
        <v>1597851</v>
      </c>
      <c r="X133">
        <v>5.59</v>
      </c>
      <c r="Y133" t="s">
        <v>29</v>
      </c>
    </row>
    <row r="134" spans="1:25" x14ac:dyDescent="0.3">
      <c r="A134" t="s">
        <v>300</v>
      </c>
      <c r="B134" t="s">
        <v>301</v>
      </c>
      <c r="C134" t="s">
        <v>36</v>
      </c>
      <c r="D134" s="1">
        <v>45642</v>
      </c>
      <c r="E134">
        <v>105</v>
      </c>
      <c r="F134" t="s">
        <v>28</v>
      </c>
      <c r="G134">
        <v>11065</v>
      </c>
      <c r="H134">
        <v>6102</v>
      </c>
      <c r="I134">
        <v>50</v>
      </c>
      <c r="J134">
        <v>75</v>
      </c>
      <c r="K134">
        <v>829875</v>
      </c>
      <c r="L134">
        <v>81655</v>
      </c>
      <c r="M134">
        <v>748220</v>
      </c>
      <c r="N134">
        <v>457650</v>
      </c>
      <c r="O134">
        <v>290570</v>
      </c>
      <c r="P134">
        <v>38.83</v>
      </c>
      <c r="Q134">
        <v>9</v>
      </c>
      <c r="R134">
        <v>89622</v>
      </c>
      <c r="S134">
        <v>18</v>
      </c>
      <c r="T134">
        <v>22</v>
      </c>
      <c r="U134">
        <v>4.18</v>
      </c>
      <c r="V134">
        <v>614156</v>
      </c>
      <c r="W134">
        <v>8044571</v>
      </c>
      <c r="X134">
        <v>13.1</v>
      </c>
      <c r="Y134" t="s">
        <v>39</v>
      </c>
    </row>
    <row r="135" spans="1:25" x14ac:dyDescent="0.3">
      <c r="A135" t="s">
        <v>302</v>
      </c>
      <c r="B135" t="s">
        <v>303</v>
      </c>
      <c r="C135" t="s">
        <v>36</v>
      </c>
      <c r="D135" s="1">
        <v>44947</v>
      </c>
      <c r="E135">
        <v>800</v>
      </c>
      <c r="F135" t="s">
        <v>28</v>
      </c>
      <c r="G135">
        <v>8512</v>
      </c>
      <c r="H135">
        <v>4602</v>
      </c>
      <c r="I135">
        <v>103</v>
      </c>
      <c r="J135">
        <v>162</v>
      </c>
      <c r="K135">
        <v>1378944</v>
      </c>
      <c r="L135">
        <v>223928</v>
      </c>
      <c r="M135">
        <v>1155016</v>
      </c>
      <c r="N135">
        <v>745524</v>
      </c>
      <c r="O135">
        <v>409492</v>
      </c>
      <c r="P135">
        <v>35.450000000000003</v>
      </c>
      <c r="Q135">
        <v>5</v>
      </c>
      <c r="R135">
        <v>38300</v>
      </c>
      <c r="S135">
        <v>4.8499999999999996</v>
      </c>
      <c r="T135">
        <v>46</v>
      </c>
      <c r="U135">
        <v>4.29</v>
      </c>
      <c r="V135">
        <v>111303</v>
      </c>
      <c r="W135">
        <v>1389567</v>
      </c>
      <c r="X135">
        <v>12.48</v>
      </c>
      <c r="Y135" t="s">
        <v>29</v>
      </c>
    </row>
    <row r="136" spans="1:25" x14ac:dyDescent="0.3">
      <c r="A136" t="s">
        <v>304</v>
      </c>
      <c r="B136" t="s">
        <v>305</v>
      </c>
      <c r="C136" t="s">
        <v>36</v>
      </c>
      <c r="D136" s="1">
        <v>45594</v>
      </c>
      <c r="E136">
        <v>153</v>
      </c>
      <c r="F136" t="s">
        <v>28</v>
      </c>
      <c r="G136">
        <v>8994</v>
      </c>
      <c r="H136">
        <v>7882</v>
      </c>
      <c r="I136">
        <v>117</v>
      </c>
      <c r="J136">
        <v>170</v>
      </c>
      <c r="K136">
        <v>1528980</v>
      </c>
      <c r="L136">
        <v>264532</v>
      </c>
      <c r="M136">
        <v>1264448</v>
      </c>
      <c r="N136">
        <v>1339940</v>
      </c>
      <c r="O136">
        <v>-75492</v>
      </c>
      <c r="P136">
        <v>-5.97</v>
      </c>
      <c r="Q136">
        <v>5</v>
      </c>
      <c r="R136">
        <v>40470</v>
      </c>
      <c r="S136">
        <v>4.2699999999999996</v>
      </c>
      <c r="T136">
        <v>42</v>
      </c>
      <c r="U136">
        <v>3.06</v>
      </c>
      <c r="V136">
        <v>561046</v>
      </c>
      <c r="W136">
        <v>6609234</v>
      </c>
      <c r="X136">
        <v>11.78</v>
      </c>
      <c r="Y136" t="s">
        <v>39</v>
      </c>
    </row>
    <row r="137" spans="1:25" x14ac:dyDescent="0.3">
      <c r="A137" t="s">
        <v>306</v>
      </c>
      <c r="B137" t="s">
        <v>307</v>
      </c>
      <c r="C137" t="s">
        <v>36</v>
      </c>
      <c r="D137" s="1">
        <v>45464</v>
      </c>
      <c r="E137">
        <v>283</v>
      </c>
      <c r="F137" t="s">
        <v>28</v>
      </c>
      <c r="G137">
        <v>15110</v>
      </c>
      <c r="H137">
        <v>10173</v>
      </c>
      <c r="I137">
        <v>72</v>
      </c>
      <c r="J137">
        <v>104</v>
      </c>
      <c r="K137">
        <v>1571440</v>
      </c>
      <c r="L137">
        <v>161983</v>
      </c>
      <c r="M137">
        <v>1409457</v>
      </c>
      <c r="N137">
        <v>1057992</v>
      </c>
      <c r="O137">
        <v>351465</v>
      </c>
      <c r="P137">
        <v>24.94</v>
      </c>
      <c r="Q137">
        <v>10</v>
      </c>
      <c r="R137">
        <v>135990</v>
      </c>
      <c r="S137">
        <v>13.89</v>
      </c>
      <c r="T137">
        <v>29</v>
      </c>
      <c r="U137">
        <v>3.88</v>
      </c>
      <c r="V137">
        <v>277592</v>
      </c>
      <c r="W137">
        <v>5690146</v>
      </c>
      <c r="X137">
        <v>20.5</v>
      </c>
      <c r="Y137" t="s">
        <v>39</v>
      </c>
    </row>
    <row r="138" spans="1:25" x14ac:dyDescent="0.3">
      <c r="A138" t="s">
        <v>308</v>
      </c>
      <c r="B138" t="s">
        <v>309</v>
      </c>
      <c r="C138" t="s">
        <v>36</v>
      </c>
      <c r="D138" s="1">
        <v>45246</v>
      </c>
      <c r="E138">
        <v>501</v>
      </c>
      <c r="F138" t="s">
        <v>28</v>
      </c>
      <c r="G138">
        <v>2292</v>
      </c>
      <c r="H138">
        <v>1032</v>
      </c>
      <c r="I138">
        <v>137</v>
      </c>
      <c r="J138">
        <v>211</v>
      </c>
      <c r="K138">
        <v>483612</v>
      </c>
      <c r="L138">
        <v>64602</v>
      </c>
      <c r="M138">
        <v>419010</v>
      </c>
      <c r="N138">
        <v>217752</v>
      </c>
      <c r="O138">
        <v>201258</v>
      </c>
      <c r="P138">
        <v>48.03</v>
      </c>
      <c r="Q138">
        <v>4</v>
      </c>
      <c r="R138">
        <v>8248</v>
      </c>
      <c r="S138">
        <v>2.92</v>
      </c>
      <c r="T138">
        <v>49</v>
      </c>
      <c r="U138">
        <v>4.51</v>
      </c>
      <c r="V138">
        <v>655140</v>
      </c>
      <c r="W138">
        <v>1728444</v>
      </c>
      <c r="X138">
        <v>2.64</v>
      </c>
      <c r="Y138" t="s">
        <v>29</v>
      </c>
    </row>
    <row r="139" spans="1:25" x14ac:dyDescent="0.3">
      <c r="A139" t="s">
        <v>310</v>
      </c>
      <c r="B139" t="s">
        <v>311</v>
      </c>
      <c r="C139" t="s">
        <v>36</v>
      </c>
      <c r="D139" s="1">
        <v>44902</v>
      </c>
      <c r="E139">
        <v>845</v>
      </c>
      <c r="F139" t="s">
        <v>28</v>
      </c>
      <c r="G139">
        <v>10853</v>
      </c>
      <c r="H139">
        <v>6796</v>
      </c>
      <c r="I139">
        <v>53</v>
      </c>
      <c r="J139">
        <v>80</v>
      </c>
      <c r="K139">
        <v>868240</v>
      </c>
      <c r="L139">
        <v>173010</v>
      </c>
      <c r="M139">
        <v>695230</v>
      </c>
      <c r="N139">
        <v>543680</v>
      </c>
      <c r="O139">
        <v>151550</v>
      </c>
      <c r="P139">
        <v>21.8</v>
      </c>
      <c r="Q139">
        <v>1</v>
      </c>
      <c r="R139">
        <v>9767</v>
      </c>
      <c r="S139">
        <v>1.89</v>
      </c>
      <c r="T139">
        <v>20</v>
      </c>
      <c r="U139">
        <v>3.88</v>
      </c>
      <c r="V139">
        <v>596193</v>
      </c>
      <c r="W139">
        <v>7803719</v>
      </c>
      <c r="X139">
        <v>13.09</v>
      </c>
      <c r="Y139" t="s">
        <v>39</v>
      </c>
    </row>
    <row r="140" spans="1:25" x14ac:dyDescent="0.3">
      <c r="A140" t="s">
        <v>312</v>
      </c>
      <c r="B140" t="s">
        <v>313</v>
      </c>
      <c r="C140" t="s">
        <v>36</v>
      </c>
      <c r="D140" s="1">
        <v>45352</v>
      </c>
      <c r="E140">
        <v>395</v>
      </c>
      <c r="F140" t="s">
        <v>28</v>
      </c>
      <c r="G140">
        <v>17684</v>
      </c>
      <c r="H140">
        <v>13568</v>
      </c>
      <c r="I140">
        <v>22</v>
      </c>
      <c r="J140">
        <v>35</v>
      </c>
      <c r="K140">
        <v>618940</v>
      </c>
      <c r="L140">
        <v>93818</v>
      </c>
      <c r="M140">
        <v>525122</v>
      </c>
      <c r="N140">
        <v>474880</v>
      </c>
      <c r="O140">
        <v>50242</v>
      </c>
      <c r="P140">
        <v>9.57</v>
      </c>
      <c r="Q140">
        <v>0</v>
      </c>
      <c r="R140">
        <v>0</v>
      </c>
      <c r="S140">
        <v>0</v>
      </c>
      <c r="T140">
        <v>10</v>
      </c>
      <c r="U140">
        <v>3.3</v>
      </c>
      <c r="V140">
        <v>683678</v>
      </c>
      <c r="W140">
        <v>13054607</v>
      </c>
      <c r="X140">
        <v>19.09</v>
      </c>
      <c r="Y140" t="s">
        <v>39</v>
      </c>
    </row>
    <row r="141" spans="1:25" x14ac:dyDescent="0.3">
      <c r="A141" t="s">
        <v>314</v>
      </c>
      <c r="B141" t="s">
        <v>315</v>
      </c>
      <c r="C141" t="s">
        <v>36</v>
      </c>
      <c r="D141" s="1">
        <v>45068</v>
      </c>
      <c r="E141">
        <v>679</v>
      </c>
      <c r="F141" t="s">
        <v>28</v>
      </c>
      <c r="G141">
        <v>7344</v>
      </c>
      <c r="H141">
        <v>5188</v>
      </c>
      <c r="I141">
        <v>112</v>
      </c>
      <c r="J141">
        <v>170</v>
      </c>
      <c r="K141">
        <v>1248480</v>
      </c>
      <c r="L141">
        <v>200223</v>
      </c>
      <c r="M141">
        <v>1048257</v>
      </c>
      <c r="N141">
        <v>881960</v>
      </c>
      <c r="O141">
        <v>166297</v>
      </c>
      <c r="P141">
        <v>15.86</v>
      </c>
      <c r="Q141">
        <v>9</v>
      </c>
      <c r="R141">
        <v>59481</v>
      </c>
      <c r="S141">
        <v>8.0399999999999991</v>
      </c>
      <c r="T141">
        <v>38</v>
      </c>
      <c r="U141">
        <v>3.55</v>
      </c>
      <c r="V141">
        <v>372613</v>
      </c>
      <c r="W141">
        <v>3161187</v>
      </c>
      <c r="X141">
        <v>8.48</v>
      </c>
      <c r="Y141" t="s">
        <v>39</v>
      </c>
    </row>
    <row r="142" spans="1:25" x14ac:dyDescent="0.3">
      <c r="A142" t="s">
        <v>316</v>
      </c>
      <c r="B142" t="s">
        <v>317</v>
      </c>
      <c r="C142" t="s">
        <v>36</v>
      </c>
      <c r="D142" s="1">
        <v>45218</v>
      </c>
      <c r="E142">
        <v>529</v>
      </c>
      <c r="F142" t="s">
        <v>28</v>
      </c>
      <c r="G142">
        <v>10539</v>
      </c>
      <c r="H142">
        <v>6330</v>
      </c>
      <c r="I142">
        <v>78</v>
      </c>
      <c r="J142">
        <v>111</v>
      </c>
      <c r="K142">
        <v>1169829</v>
      </c>
      <c r="L142">
        <v>210098</v>
      </c>
      <c r="M142">
        <v>959731</v>
      </c>
      <c r="N142">
        <v>702630</v>
      </c>
      <c r="O142">
        <v>257101</v>
      </c>
      <c r="P142">
        <v>26.79</v>
      </c>
      <c r="Q142">
        <v>7</v>
      </c>
      <c r="R142">
        <v>66395</v>
      </c>
      <c r="S142">
        <v>8.9700000000000006</v>
      </c>
      <c r="T142">
        <v>28</v>
      </c>
      <c r="U142">
        <v>4</v>
      </c>
      <c r="V142">
        <v>121753</v>
      </c>
      <c r="W142">
        <v>1647931</v>
      </c>
      <c r="X142">
        <v>13.54</v>
      </c>
      <c r="Y142" t="s">
        <v>39</v>
      </c>
    </row>
    <row r="143" spans="1:25" x14ac:dyDescent="0.3">
      <c r="A143" t="s">
        <v>318</v>
      </c>
      <c r="B143" t="s">
        <v>319</v>
      </c>
      <c r="C143" t="s">
        <v>36</v>
      </c>
      <c r="D143" s="1">
        <v>45591</v>
      </c>
      <c r="E143">
        <v>156</v>
      </c>
      <c r="F143" t="s">
        <v>28</v>
      </c>
      <c r="G143">
        <v>14450</v>
      </c>
      <c r="H143">
        <v>12377</v>
      </c>
      <c r="I143">
        <v>30</v>
      </c>
      <c r="J143">
        <v>40</v>
      </c>
      <c r="K143">
        <v>578000</v>
      </c>
      <c r="L143">
        <v>101545</v>
      </c>
      <c r="M143">
        <v>476455</v>
      </c>
      <c r="N143">
        <v>495080</v>
      </c>
      <c r="O143">
        <v>-18625</v>
      </c>
      <c r="P143">
        <v>-3.91</v>
      </c>
      <c r="Q143">
        <v>2</v>
      </c>
      <c r="R143">
        <v>26010</v>
      </c>
      <c r="S143">
        <v>6.67</v>
      </c>
      <c r="T143">
        <v>18</v>
      </c>
      <c r="U143">
        <v>3.14</v>
      </c>
      <c r="V143">
        <v>516876</v>
      </c>
      <c r="W143">
        <v>7892981</v>
      </c>
      <c r="X143">
        <v>15.27</v>
      </c>
      <c r="Y143" t="s">
        <v>39</v>
      </c>
    </row>
    <row r="144" spans="1:25" x14ac:dyDescent="0.3">
      <c r="A144" t="s">
        <v>320</v>
      </c>
      <c r="B144" t="s">
        <v>321</v>
      </c>
      <c r="C144" t="s">
        <v>36</v>
      </c>
      <c r="D144" s="1">
        <v>45516</v>
      </c>
      <c r="E144">
        <v>231</v>
      </c>
      <c r="F144" t="s">
        <v>28</v>
      </c>
      <c r="G144">
        <v>13760</v>
      </c>
      <c r="H144">
        <v>10194</v>
      </c>
      <c r="I144">
        <v>99</v>
      </c>
      <c r="J144">
        <v>148</v>
      </c>
      <c r="K144">
        <v>2036480</v>
      </c>
      <c r="L144">
        <v>259849</v>
      </c>
      <c r="M144">
        <v>1776631</v>
      </c>
      <c r="N144">
        <v>1508712</v>
      </c>
      <c r="O144">
        <v>267919</v>
      </c>
      <c r="P144">
        <v>15.08</v>
      </c>
      <c r="Q144">
        <v>7</v>
      </c>
      <c r="R144">
        <v>86688</v>
      </c>
      <c r="S144">
        <v>7.07</v>
      </c>
      <c r="T144">
        <v>35</v>
      </c>
      <c r="U144">
        <v>3.6</v>
      </c>
      <c r="V144">
        <v>544182</v>
      </c>
      <c r="W144">
        <v>10408989</v>
      </c>
      <c r="X144">
        <v>19.13</v>
      </c>
      <c r="Y144" t="s">
        <v>39</v>
      </c>
    </row>
    <row r="145" spans="1:25" x14ac:dyDescent="0.3">
      <c r="A145" t="s">
        <v>322</v>
      </c>
      <c r="B145" t="s">
        <v>323</v>
      </c>
      <c r="C145" t="s">
        <v>36</v>
      </c>
      <c r="D145" s="1">
        <v>45426</v>
      </c>
      <c r="E145">
        <v>321</v>
      </c>
      <c r="F145" t="s">
        <v>28</v>
      </c>
      <c r="G145">
        <v>10537</v>
      </c>
      <c r="H145">
        <v>7815</v>
      </c>
      <c r="I145">
        <v>57</v>
      </c>
      <c r="J145">
        <v>88</v>
      </c>
      <c r="K145">
        <v>927256</v>
      </c>
      <c r="L145">
        <v>111090</v>
      </c>
      <c r="M145">
        <v>816166</v>
      </c>
      <c r="N145">
        <v>687720</v>
      </c>
      <c r="O145">
        <v>128446</v>
      </c>
      <c r="P145">
        <v>15.74</v>
      </c>
      <c r="Q145">
        <v>2</v>
      </c>
      <c r="R145">
        <v>18966</v>
      </c>
      <c r="S145">
        <v>3.51</v>
      </c>
      <c r="T145">
        <v>22</v>
      </c>
      <c r="U145">
        <v>3.27</v>
      </c>
      <c r="V145">
        <v>645953</v>
      </c>
      <c r="W145">
        <v>7552366</v>
      </c>
      <c r="X145">
        <v>11.69</v>
      </c>
      <c r="Y145" t="s">
        <v>39</v>
      </c>
    </row>
    <row r="146" spans="1:25" x14ac:dyDescent="0.3">
      <c r="A146" t="s">
        <v>324</v>
      </c>
      <c r="B146" t="s">
        <v>325</v>
      </c>
      <c r="C146" t="s">
        <v>36</v>
      </c>
      <c r="D146" s="1">
        <v>45120</v>
      </c>
      <c r="E146">
        <v>627</v>
      </c>
      <c r="F146" t="s">
        <v>28</v>
      </c>
      <c r="G146">
        <v>12343</v>
      </c>
      <c r="H146">
        <v>10470</v>
      </c>
      <c r="I146">
        <v>36</v>
      </c>
      <c r="J146">
        <v>55</v>
      </c>
      <c r="K146">
        <v>678865</v>
      </c>
      <c r="L146">
        <v>99382</v>
      </c>
      <c r="M146">
        <v>579483</v>
      </c>
      <c r="N146">
        <v>575850</v>
      </c>
      <c r="O146">
        <v>3633</v>
      </c>
      <c r="P146">
        <v>0.63</v>
      </c>
      <c r="Q146">
        <v>1</v>
      </c>
      <c r="R146">
        <v>11108</v>
      </c>
      <c r="S146">
        <v>2.78</v>
      </c>
      <c r="T146">
        <v>15</v>
      </c>
      <c r="U146">
        <v>3</v>
      </c>
      <c r="V146">
        <v>283783</v>
      </c>
      <c r="W146">
        <v>4972653</v>
      </c>
      <c r="X146">
        <v>17.52</v>
      </c>
      <c r="Y146" t="s">
        <v>39</v>
      </c>
    </row>
    <row r="147" spans="1:25" x14ac:dyDescent="0.3">
      <c r="A147" t="s">
        <v>326</v>
      </c>
      <c r="B147" t="s">
        <v>327</v>
      </c>
      <c r="C147" t="s">
        <v>36</v>
      </c>
      <c r="D147" s="1">
        <v>45508</v>
      </c>
      <c r="E147">
        <v>239</v>
      </c>
      <c r="F147" t="s">
        <v>28</v>
      </c>
      <c r="G147">
        <v>1159</v>
      </c>
      <c r="H147">
        <v>725</v>
      </c>
      <c r="I147">
        <v>146</v>
      </c>
      <c r="J147">
        <v>216</v>
      </c>
      <c r="K147">
        <v>250344</v>
      </c>
      <c r="L147">
        <v>33744</v>
      </c>
      <c r="M147">
        <v>216600</v>
      </c>
      <c r="N147">
        <v>156600</v>
      </c>
      <c r="O147">
        <v>60000</v>
      </c>
      <c r="P147">
        <v>27.7</v>
      </c>
      <c r="Q147">
        <v>14</v>
      </c>
      <c r="R147">
        <v>14602</v>
      </c>
      <c r="S147">
        <v>9.59</v>
      </c>
      <c r="T147">
        <v>69</v>
      </c>
      <c r="U147">
        <v>4.18</v>
      </c>
      <c r="V147">
        <v>203039</v>
      </c>
      <c r="W147">
        <v>322748</v>
      </c>
      <c r="X147">
        <v>1.59</v>
      </c>
      <c r="Y147" t="s">
        <v>39</v>
      </c>
    </row>
    <row r="148" spans="1:25" x14ac:dyDescent="0.3">
      <c r="A148" t="s">
        <v>328</v>
      </c>
      <c r="B148" t="s">
        <v>329</v>
      </c>
      <c r="C148" t="s">
        <v>36</v>
      </c>
      <c r="D148" s="1">
        <v>44981</v>
      </c>
      <c r="E148">
        <v>766</v>
      </c>
      <c r="F148" t="s">
        <v>28</v>
      </c>
      <c r="G148">
        <v>11801</v>
      </c>
      <c r="H148">
        <v>10588</v>
      </c>
      <c r="I148">
        <v>80</v>
      </c>
      <c r="J148">
        <v>114</v>
      </c>
      <c r="K148">
        <v>1345314</v>
      </c>
      <c r="L148">
        <v>188905</v>
      </c>
      <c r="M148">
        <v>1156409</v>
      </c>
      <c r="N148">
        <v>1207032</v>
      </c>
      <c r="O148">
        <v>-50623</v>
      </c>
      <c r="P148">
        <v>-4.38</v>
      </c>
      <c r="Q148">
        <v>12</v>
      </c>
      <c r="R148">
        <v>127440</v>
      </c>
      <c r="S148">
        <v>15</v>
      </c>
      <c r="T148">
        <v>32</v>
      </c>
      <c r="U148">
        <v>2.78</v>
      </c>
      <c r="V148">
        <v>306171</v>
      </c>
      <c r="W148">
        <v>3374036</v>
      </c>
      <c r="X148">
        <v>11.02</v>
      </c>
      <c r="Y148" t="s">
        <v>39</v>
      </c>
    </row>
    <row r="149" spans="1:25" x14ac:dyDescent="0.3">
      <c r="A149" t="s">
        <v>330</v>
      </c>
      <c r="B149" t="s">
        <v>331</v>
      </c>
      <c r="C149" t="s">
        <v>36</v>
      </c>
      <c r="D149" s="1">
        <v>45264</v>
      </c>
      <c r="E149">
        <v>483</v>
      </c>
      <c r="F149" t="s">
        <v>28</v>
      </c>
      <c r="G149">
        <v>17681</v>
      </c>
      <c r="H149">
        <v>14201</v>
      </c>
      <c r="I149">
        <v>37</v>
      </c>
      <c r="J149">
        <v>56</v>
      </c>
      <c r="K149">
        <v>990136</v>
      </c>
      <c r="L149">
        <v>184467</v>
      </c>
      <c r="M149">
        <v>805669</v>
      </c>
      <c r="N149">
        <v>795256</v>
      </c>
      <c r="O149">
        <v>10413</v>
      </c>
      <c r="P149">
        <v>1.29</v>
      </c>
      <c r="Q149">
        <v>4</v>
      </c>
      <c r="R149">
        <v>63648</v>
      </c>
      <c r="S149">
        <v>10.81</v>
      </c>
      <c r="T149">
        <v>14</v>
      </c>
      <c r="U149">
        <v>3.57</v>
      </c>
      <c r="V149">
        <v>142500</v>
      </c>
      <c r="W149">
        <v>2777947</v>
      </c>
      <c r="X149">
        <v>19.489999999999998</v>
      </c>
      <c r="Y149" t="s">
        <v>39</v>
      </c>
    </row>
    <row r="150" spans="1:25" x14ac:dyDescent="0.3">
      <c r="A150" t="s">
        <v>332</v>
      </c>
      <c r="B150" t="s">
        <v>333</v>
      </c>
      <c r="C150" t="s">
        <v>36</v>
      </c>
      <c r="D150" s="1">
        <v>44888</v>
      </c>
      <c r="E150">
        <v>859</v>
      </c>
      <c r="F150" t="s">
        <v>28</v>
      </c>
      <c r="G150">
        <v>19836</v>
      </c>
      <c r="H150">
        <v>17094</v>
      </c>
      <c r="I150">
        <v>31</v>
      </c>
      <c r="J150">
        <v>43</v>
      </c>
      <c r="K150">
        <v>852948</v>
      </c>
      <c r="L150">
        <v>86344</v>
      </c>
      <c r="M150">
        <v>766604</v>
      </c>
      <c r="N150">
        <v>735042</v>
      </c>
      <c r="O150">
        <v>31562</v>
      </c>
      <c r="P150">
        <v>4.12</v>
      </c>
      <c r="Q150">
        <v>3</v>
      </c>
      <c r="R150">
        <v>53556</v>
      </c>
      <c r="S150">
        <v>9.68</v>
      </c>
      <c r="T150">
        <v>15</v>
      </c>
      <c r="U150">
        <v>2.83</v>
      </c>
      <c r="V150">
        <v>640593</v>
      </c>
      <c r="W150">
        <v>14982098</v>
      </c>
      <c r="X150">
        <v>23.39</v>
      </c>
      <c r="Y150" t="s">
        <v>39</v>
      </c>
    </row>
    <row r="151" spans="1:25" x14ac:dyDescent="0.3">
      <c r="A151" t="s">
        <v>334</v>
      </c>
      <c r="B151" t="s">
        <v>335</v>
      </c>
      <c r="C151" t="s">
        <v>36</v>
      </c>
      <c r="D151" s="1">
        <v>45259</v>
      </c>
      <c r="E151">
        <v>488</v>
      </c>
      <c r="F151" t="s">
        <v>28</v>
      </c>
      <c r="G151">
        <v>16213</v>
      </c>
      <c r="H151">
        <v>10162</v>
      </c>
      <c r="I151">
        <v>76</v>
      </c>
      <c r="J151">
        <v>115</v>
      </c>
      <c r="K151">
        <v>1864495</v>
      </c>
      <c r="L151">
        <v>317309</v>
      </c>
      <c r="M151">
        <v>1547186</v>
      </c>
      <c r="N151">
        <v>1168630</v>
      </c>
      <c r="O151">
        <v>378556</v>
      </c>
      <c r="P151">
        <v>24.47</v>
      </c>
      <c r="Q151">
        <v>6</v>
      </c>
      <c r="R151">
        <v>87546</v>
      </c>
      <c r="S151">
        <v>7.89</v>
      </c>
      <c r="T151">
        <v>28</v>
      </c>
      <c r="U151">
        <v>3.86</v>
      </c>
      <c r="V151">
        <v>102077</v>
      </c>
      <c r="W151">
        <v>2725584</v>
      </c>
      <c r="X151">
        <v>26.7</v>
      </c>
      <c r="Y151" t="s">
        <v>39</v>
      </c>
    </row>
    <row r="152" spans="1:25" x14ac:dyDescent="0.3">
      <c r="A152" t="s">
        <v>336</v>
      </c>
      <c r="B152" t="s">
        <v>337</v>
      </c>
      <c r="C152" t="s">
        <v>36</v>
      </c>
      <c r="D152" s="1">
        <v>45150</v>
      </c>
      <c r="E152">
        <v>597</v>
      </c>
      <c r="F152" t="s">
        <v>28</v>
      </c>
      <c r="G152">
        <v>16244</v>
      </c>
      <c r="H152">
        <v>10767</v>
      </c>
      <c r="I152">
        <v>76</v>
      </c>
      <c r="J152">
        <v>116</v>
      </c>
      <c r="K152">
        <v>1884304</v>
      </c>
      <c r="L152">
        <v>248494</v>
      </c>
      <c r="M152">
        <v>1635810</v>
      </c>
      <c r="N152">
        <v>1248972</v>
      </c>
      <c r="O152">
        <v>386838</v>
      </c>
      <c r="P152">
        <v>23.65</v>
      </c>
      <c r="Q152">
        <v>9</v>
      </c>
      <c r="R152">
        <v>131571</v>
      </c>
      <c r="S152">
        <v>11.84</v>
      </c>
      <c r="T152">
        <v>31</v>
      </c>
      <c r="U152">
        <v>3.73</v>
      </c>
      <c r="V152">
        <v>441928</v>
      </c>
      <c r="W152">
        <v>7926841</v>
      </c>
      <c r="X152">
        <v>17.940000000000001</v>
      </c>
      <c r="Y152" t="s">
        <v>39</v>
      </c>
    </row>
    <row r="153" spans="1:25" x14ac:dyDescent="0.3">
      <c r="A153" t="s">
        <v>338</v>
      </c>
      <c r="B153" t="s">
        <v>339</v>
      </c>
      <c r="C153" t="s">
        <v>36</v>
      </c>
      <c r="D153" s="1">
        <v>45131</v>
      </c>
      <c r="E153">
        <v>616</v>
      </c>
      <c r="F153" t="s">
        <v>28</v>
      </c>
      <c r="G153">
        <v>4795</v>
      </c>
      <c r="H153">
        <v>2666</v>
      </c>
      <c r="I153">
        <v>124</v>
      </c>
      <c r="J153">
        <v>189</v>
      </c>
      <c r="K153">
        <v>906255</v>
      </c>
      <c r="L153">
        <v>137782</v>
      </c>
      <c r="M153">
        <v>768473</v>
      </c>
      <c r="N153">
        <v>503874</v>
      </c>
      <c r="O153">
        <v>264599</v>
      </c>
      <c r="P153">
        <v>34.43</v>
      </c>
      <c r="Q153">
        <v>10</v>
      </c>
      <c r="R153">
        <v>43150</v>
      </c>
      <c r="S153">
        <v>8.06</v>
      </c>
      <c r="T153">
        <v>52</v>
      </c>
      <c r="U153">
        <v>4.24</v>
      </c>
      <c r="V153">
        <v>364917</v>
      </c>
      <c r="W153">
        <v>1920439</v>
      </c>
      <c r="X153">
        <v>5.26</v>
      </c>
      <c r="Y153" t="s">
        <v>39</v>
      </c>
    </row>
    <row r="154" spans="1:25" x14ac:dyDescent="0.3">
      <c r="A154" t="s">
        <v>340</v>
      </c>
      <c r="B154" t="s">
        <v>341</v>
      </c>
      <c r="C154" t="s">
        <v>36</v>
      </c>
      <c r="D154" s="1">
        <v>45519</v>
      </c>
      <c r="E154">
        <v>228</v>
      </c>
      <c r="F154" t="s">
        <v>28</v>
      </c>
      <c r="G154">
        <v>7839</v>
      </c>
      <c r="H154">
        <v>5290</v>
      </c>
      <c r="I154">
        <v>88</v>
      </c>
      <c r="J154">
        <v>127</v>
      </c>
      <c r="K154">
        <v>995553</v>
      </c>
      <c r="L154">
        <v>197423</v>
      </c>
      <c r="M154">
        <v>798130</v>
      </c>
      <c r="N154">
        <v>671830</v>
      </c>
      <c r="O154">
        <v>126300</v>
      </c>
      <c r="P154">
        <v>15.82</v>
      </c>
      <c r="Q154">
        <v>7</v>
      </c>
      <c r="R154">
        <v>49385</v>
      </c>
      <c r="S154">
        <v>7.95</v>
      </c>
      <c r="T154">
        <v>26</v>
      </c>
      <c r="U154">
        <v>4</v>
      </c>
      <c r="V154">
        <v>120397</v>
      </c>
      <c r="W154">
        <v>628365</v>
      </c>
      <c r="X154">
        <v>5.22</v>
      </c>
      <c r="Y154" t="s">
        <v>39</v>
      </c>
    </row>
    <row r="155" spans="1:25" x14ac:dyDescent="0.3">
      <c r="A155" t="s">
        <v>342</v>
      </c>
      <c r="B155" t="s">
        <v>343</v>
      </c>
      <c r="C155" t="s">
        <v>32</v>
      </c>
      <c r="D155" s="1">
        <v>45424</v>
      </c>
      <c r="E155">
        <v>323</v>
      </c>
      <c r="F155" t="s">
        <v>28</v>
      </c>
      <c r="G155">
        <v>2850</v>
      </c>
      <c r="H155">
        <v>1459</v>
      </c>
      <c r="I155">
        <v>81</v>
      </c>
      <c r="J155">
        <v>122</v>
      </c>
      <c r="K155">
        <v>347700</v>
      </c>
      <c r="L155">
        <v>58903</v>
      </c>
      <c r="M155">
        <v>288797</v>
      </c>
      <c r="N155">
        <v>177998</v>
      </c>
      <c r="O155">
        <v>110799</v>
      </c>
      <c r="P155">
        <v>38.369999999999997</v>
      </c>
      <c r="Q155">
        <v>11</v>
      </c>
      <c r="R155">
        <v>28215</v>
      </c>
      <c r="S155">
        <v>13.58</v>
      </c>
      <c r="T155">
        <v>31</v>
      </c>
      <c r="U155">
        <v>4.3099999999999996</v>
      </c>
      <c r="V155">
        <v>571080</v>
      </c>
      <c r="W155">
        <v>1836770</v>
      </c>
      <c r="X155">
        <v>3.22</v>
      </c>
      <c r="Y155" t="s">
        <v>39</v>
      </c>
    </row>
    <row r="156" spans="1:25" x14ac:dyDescent="0.3">
      <c r="A156" t="s">
        <v>344</v>
      </c>
      <c r="B156" t="s">
        <v>345</v>
      </c>
      <c r="C156" t="s">
        <v>32</v>
      </c>
      <c r="D156" s="1">
        <v>45467</v>
      </c>
      <c r="E156">
        <v>280</v>
      </c>
      <c r="F156" t="s">
        <v>28</v>
      </c>
      <c r="G156">
        <v>10941</v>
      </c>
      <c r="H156">
        <v>9000</v>
      </c>
      <c r="I156">
        <v>87</v>
      </c>
      <c r="J156">
        <v>133</v>
      </c>
      <c r="K156">
        <v>1455153</v>
      </c>
      <c r="L156">
        <v>133567</v>
      </c>
      <c r="M156">
        <v>1321586</v>
      </c>
      <c r="N156">
        <v>1197000</v>
      </c>
      <c r="O156">
        <v>124586</v>
      </c>
      <c r="P156">
        <v>9.43</v>
      </c>
      <c r="Q156">
        <v>8</v>
      </c>
      <c r="R156">
        <v>78768</v>
      </c>
      <c r="S156">
        <v>9.1999999999999993</v>
      </c>
      <c r="T156">
        <v>30</v>
      </c>
      <c r="U156">
        <v>3.18</v>
      </c>
      <c r="V156">
        <v>624799</v>
      </c>
      <c r="W156">
        <v>7123565</v>
      </c>
      <c r="X156">
        <v>11.4</v>
      </c>
      <c r="Y156" t="s">
        <v>39</v>
      </c>
    </row>
    <row r="157" spans="1:25" x14ac:dyDescent="0.3">
      <c r="A157" t="s">
        <v>346</v>
      </c>
      <c r="B157" t="s">
        <v>347</v>
      </c>
      <c r="C157" t="s">
        <v>32</v>
      </c>
      <c r="D157" s="1">
        <v>45371</v>
      </c>
      <c r="E157">
        <v>376</v>
      </c>
      <c r="F157" t="s">
        <v>28</v>
      </c>
      <c r="G157">
        <v>14575</v>
      </c>
      <c r="H157">
        <v>9255</v>
      </c>
      <c r="I157">
        <v>95</v>
      </c>
      <c r="J157">
        <v>146</v>
      </c>
      <c r="K157">
        <v>2127950</v>
      </c>
      <c r="L157">
        <v>350157</v>
      </c>
      <c r="M157">
        <v>1777793</v>
      </c>
      <c r="N157">
        <v>1351230</v>
      </c>
      <c r="O157">
        <v>426563</v>
      </c>
      <c r="P157">
        <v>23.99</v>
      </c>
      <c r="Q157">
        <v>4</v>
      </c>
      <c r="R157">
        <v>52468</v>
      </c>
      <c r="S157">
        <v>4.21</v>
      </c>
      <c r="T157">
        <v>40</v>
      </c>
      <c r="U157">
        <v>3.91</v>
      </c>
      <c r="V157">
        <v>597119</v>
      </c>
      <c r="W157">
        <v>11207311</v>
      </c>
      <c r="X157">
        <v>18.77</v>
      </c>
      <c r="Y157" t="s">
        <v>39</v>
      </c>
    </row>
    <row r="158" spans="1:25" x14ac:dyDescent="0.3">
      <c r="A158" t="s">
        <v>348</v>
      </c>
      <c r="B158" t="s">
        <v>349</v>
      </c>
      <c r="C158" t="s">
        <v>32</v>
      </c>
      <c r="D158" s="1">
        <v>44951</v>
      </c>
      <c r="E158">
        <v>796</v>
      </c>
      <c r="F158" t="s">
        <v>28</v>
      </c>
      <c r="G158">
        <v>2801</v>
      </c>
      <c r="H158">
        <v>1877</v>
      </c>
      <c r="I158">
        <v>177</v>
      </c>
      <c r="J158">
        <v>274</v>
      </c>
      <c r="K158">
        <v>767474</v>
      </c>
      <c r="L158">
        <v>91949</v>
      </c>
      <c r="M158">
        <v>675525</v>
      </c>
      <c r="N158">
        <v>514298</v>
      </c>
      <c r="O158">
        <v>161227</v>
      </c>
      <c r="P158">
        <v>23.87</v>
      </c>
      <c r="Q158">
        <v>22</v>
      </c>
      <c r="R158">
        <v>55440</v>
      </c>
      <c r="S158">
        <v>12.43</v>
      </c>
      <c r="T158">
        <v>74</v>
      </c>
      <c r="U158">
        <v>3.69</v>
      </c>
      <c r="V158">
        <v>486367</v>
      </c>
      <c r="W158">
        <v>2032122</v>
      </c>
      <c r="X158">
        <v>4.18</v>
      </c>
      <c r="Y158" t="s">
        <v>39</v>
      </c>
    </row>
    <row r="159" spans="1:25" x14ac:dyDescent="0.3">
      <c r="A159" t="s">
        <v>350</v>
      </c>
      <c r="B159" t="s">
        <v>351</v>
      </c>
      <c r="C159" t="s">
        <v>32</v>
      </c>
      <c r="D159" s="1">
        <v>45097</v>
      </c>
      <c r="E159">
        <v>650</v>
      </c>
      <c r="F159" t="s">
        <v>28</v>
      </c>
      <c r="G159">
        <v>8041</v>
      </c>
      <c r="H159">
        <v>6864</v>
      </c>
      <c r="I159">
        <v>78</v>
      </c>
      <c r="J159">
        <v>114</v>
      </c>
      <c r="K159">
        <v>916674</v>
      </c>
      <c r="L159">
        <v>164886</v>
      </c>
      <c r="M159">
        <v>751788</v>
      </c>
      <c r="N159">
        <v>782496</v>
      </c>
      <c r="O159">
        <v>-30708</v>
      </c>
      <c r="P159">
        <v>-4.08</v>
      </c>
      <c r="Q159">
        <v>1</v>
      </c>
      <c r="R159">
        <v>7236</v>
      </c>
      <c r="S159">
        <v>1.28</v>
      </c>
      <c r="T159">
        <v>38</v>
      </c>
      <c r="U159">
        <v>2.89</v>
      </c>
      <c r="V159">
        <v>602100</v>
      </c>
      <c r="W159">
        <v>5801185</v>
      </c>
      <c r="X159">
        <v>9.6300000000000008</v>
      </c>
      <c r="Y159" t="s">
        <v>39</v>
      </c>
    </row>
    <row r="160" spans="1:25" x14ac:dyDescent="0.3">
      <c r="A160" t="s">
        <v>352</v>
      </c>
      <c r="B160" t="s">
        <v>353</v>
      </c>
      <c r="C160" t="s">
        <v>32</v>
      </c>
      <c r="D160" s="1">
        <v>45613</v>
      </c>
      <c r="E160">
        <v>134</v>
      </c>
      <c r="F160" t="s">
        <v>28</v>
      </c>
      <c r="G160">
        <v>15501</v>
      </c>
      <c r="H160">
        <v>8688</v>
      </c>
      <c r="I160">
        <v>69</v>
      </c>
      <c r="J160">
        <v>103</v>
      </c>
      <c r="K160">
        <v>1596603</v>
      </c>
      <c r="L160">
        <v>190997</v>
      </c>
      <c r="M160">
        <v>1405606</v>
      </c>
      <c r="N160">
        <v>894864</v>
      </c>
      <c r="O160">
        <v>510742</v>
      </c>
      <c r="P160">
        <v>36.340000000000003</v>
      </c>
      <c r="Q160">
        <v>4</v>
      </c>
      <c r="R160">
        <v>55800</v>
      </c>
      <c r="S160">
        <v>5.8</v>
      </c>
      <c r="T160">
        <v>19</v>
      </c>
      <c r="U160">
        <v>4.21</v>
      </c>
      <c r="V160">
        <v>447271</v>
      </c>
      <c r="W160">
        <v>10208245</v>
      </c>
      <c r="X160">
        <v>22.82</v>
      </c>
      <c r="Y160" t="s">
        <v>39</v>
      </c>
    </row>
    <row r="161" spans="1:25" x14ac:dyDescent="0.3">
      <c r="A161" t="s">
        <v>354</v>
      </c>
      <c r="B161" t="s">
        <v>355</v>
      </c>
      <c r="C161" t="s">
        <v>32</v>
      </c>
      <c r="D161" s="1">
        <v>45477</v>
      </c>
      <c r="E161">
        <v>270</v>
      </c>
      <c r="F161" t="s">
        <v>28</v>
      </c>
      <c r="G161">
        <v>10889</v>
      </c>
      <c r="H161">
        <v>5565</v>
      </c>
      <c r="I161">
        <v>82</v>
      </c>
      <c r="J161">
        <v>120</v>
      </c>
      <c r="K161">
        <v>1306680</v>
      </c>
      <c r="L161">
        <v>161284</v>
      </c>
      <c r="M161">
        <v>1145396</v>
      </c>
      <c r="N161">
        <v>667800</v>
      </c>
      <c r="O161">
        <v>477596</v>
      </c>
      <c r="P161">
        <v>41.7</v>
      </c>
      <c r="Q161">
        <v>0</v>
      </c>
      <c r="R161">
        <v>0</v>
      </c>
      <c r="S161">
        <v>0</v>
      </c>
      <c r="T161">
        <v>27</v>
      </c>
      <c r="U161">
        <v>4.33</v>
      </c>
      <c r="V161">
        <v>134357</v>
      </c>
      <c r="W161">
        <v>1632302</v>
      </c>
      <c r="X161">
        <v>12.15</v>
      </c>
      <c r="Y161" t="s">
        <v>39</v>
      </c>
    </row>
    <row r="162" spans="1:25" x14ac:dyDescent="0.3">
      <c r="A162" t="s">
        <v>356</v>
      </c>
      <c r="B162" t="s">
        <v>357</v>
      </c>
      <c r="C162" t="s">
        <v>32</v>
      </c>
      <c r="D162" s="1">
        <v>45354</v>
      </c>
      <c r="E162">
        <v>393</v>
      </c>
      <c r="F162" t="s">
        <v>28</v>
      </c>
      <c r="G162">
        <v>19678</v>
      </c>
      <c r="H162">
        <v>17212</v>
      </c>
      <c r="I162">
        <v>50</v>
      </c>
      <c r="J162">
        <v>77</v>
      </c>
      <c r="K162">
        <v>1515206</v>
      </c>
      <c r="L162">
        <v>236864</v>
      </c>
      <c r="M162">
        <v>1278342</v>
      </c>
      <c r="N162">
        <v>1325324</v>
      </c>
      <c r="O162">
        <v>-46982</v>
      </c>
      <c r="P162">
        <v>-3.68</v>
      </c>
      <c r="Q162">
        <v>1</v>
      </c>
      <c r="R162">
        <v>17710</v>
      </c>
      <c r="S162">
        <v>2</v>
      </c>
      <c r="T162">
        <v>23</v>
      </c>
      <c r="U162">
        <v>3.13</v>
      </c>
      <c r="V162">
        <v>128198</v>
      </c>
      <c r="W162">
        <v>2524041</v>
      </c>
      <c r="X162">
        <v>19.690000000000001</v>
      </c>
      <c r="Y162" t="s">
        <v>39</v>
      </c>
    </row>
    <row r="163" spans="1:25" x14ac:dyDescent="0.3">
      <c r="A163" t="s">
        <v>358</v>
      </c>
      <c r="B163" t="s">
        <v>359</v>
      </c>
      <c r="C163" t="s">
        <v>32</v>
      </c>
      <c r="D163" s="1">
        <v>45308</v>
      </c>
      <c r="E163">
        <v>439</v>
      </c>
      <c r="F163" t="s">
        <v>28</v>
      </c>
      <c r="G163">
        <v>19765</v>
      </c>
      <c r="H163">
        <v>13278</v>
      </c>
      <c r="I163">
        <v>38</v>
      </c>
      <c r="J163">
        <v>55</v>
      </c>
      <c r="K163">
        <v>1087075</v>
      </c>
      <c r="L163">
        <v>149744</v>
      </c>
      <c r="M163">
        <v>937331</v>
      </c>
      <c r="N163">
        <v>730290</v>
      </c>
      <c r="O163">
        <v>207041</v>
      </c>
      <c r="P163">
        <v>22.09</v>
      </c>
      <c r="Q163">
        <v>0</v>
      </c>
      <c r="R163">
        <v>0</v>
      </c>
      <c r="S163">
        <v>0</v>
      </c>
      <c r="T163">
        <v>15</v>
      </c>
      <c r="U163">
        <v>3.87</v>
      </c>
      <c r="V163">
        <v>137309</v>
      </c>
      <c r="W163">
        <v>2067038</v>
      </c>
      <c r="X163">
        <v>15.05</v>
      </c>
      <c r="Y163" t="s">
        <v>39</v>
      </c>
    </row>
    <row r="164" spans="1:25" x14ac:dyDescent="0.3">
      <c r="A164" t="s">
        <v>360</v>
      </c>
      <c r="B164" t="s">
        <v>361</v>
      </c>
      <c r="C164" t="s">
        <v>32</v>
      </c>
      <c r="D164" s="1">
        <v>45322</v>
      </c>
      <c r="E164">
        <v>425</v>
      </c>
      <c r="F164" t="s">
        <v>28</v>
      </c>
      <c r="G164">
        <v>6467</v>
      </c>
      <c r="H164">
        <v>4884</v>
      </c>
      <c r="I164">
        <v>120</v>
      </c>
      <c r="J164">
        <v>180</v>
      </c>
      <c r="K164">
        <v>1164060</v>
      </c>
      <c r="L164">
        <v>153383</v>
      </c>
      <c r="M164">
        <v>1010677</v>
      </c>
      <c r="N164">
        <v>879120</v>
      </c>
      <c r="O164">
        <v>131557</v>
      </c>
      <c r="P164">
        <v>13.02</v>
      </c>
      <c r="Q164">
        <v>16</v>
      </c>
      <c r="R164">
        <v>93120</v>
      </c>
      <c r="S164">
        <v>13.33</v>
      </c>
      <c r="T164">
        <v>43</v>
      </c>
      <c r="U164">
        <v>3.42</v>
      </c>
      <c r="V164">
        <v>295600</v>
      </c>
      <c r="W164">
        <v>2609764</v>
      </c>
      <c r="X164">
        <v>8.83</v>
      </c>
      <c r="Y164" t="s">
        <v>39</v>
      </c>
    </row>
    <row r="165" spans="1:25" x14ac:dyDescent="0.3">
      <c r="A165" t="s">
        <v>362</v>
      </c>
      <c r="B165" t="s">
        <v>363</v>
      </c>
      <c r="C165" t="s">
        <v>32</v>
      </c>
      <c r="D165" s="1">
        <v>44875</v>
      </c>
      <c r="E165">
        <v>872</v>
      </c>
      <c r="F165" t="s">
        <v>28</v>
      </c>
      <c r="G165">
        <v>16832</v>
      </c>
      <c r="H165">
        <v>10254</v>
      </c>
      <c r="I165">
        <v>66</v>
      </c>
      <c r="J165">
        <v>106</v>
      </c>
      <c r="K165">
        <v>1784192</v>
      </c>
      <c r="L165">
        <v>300265</v>
      </c>
      <c r="M165">
        <v>1483927</v>
      </c>
      <c r="N165">
        <v>1086924</v>
      </c>
      <c r="O165">
        <v>397003</v>
      </c>
      <c r="P165">
        <v>26.75</v>
      </c>
      <c r="Q165">
        <v>3</v>
      </c>
      <c r="R165">
        <v>45444</v>
      </c>
      <c r="S165">
        <v>4.55</v>
      </c>
      <c r="T165">
        <v>29</v>
      </c>
      <c r="U165">
        <v>4.12</v>
      </c>
      <c r="V165">
        <v>383540</v>
      </c>
      <c r="W165">
        <v>3706100</v>
      </c>
      <c r="X165">
        <v>9.66</v>
      </c>
      <c r="Y165" t="s">
        <v>29</v>
      </c>
    </row>
    <row r="166" spans="1:25" x14ac:dyDescent="0.3">
      <c r="A166" t="s">
        <v>364</v>
      </c>
      <c r="B166" t="s">
        <v>365</v>
      </c>
      <c r="C166" t="s">
        <v>32</v>
      </c>
      <c r="D166" s="1">
        <v>45231</v>
      </c>
      <c r="E166">
        <v>516</v>
      </c>
      <c r="F166" t="s">
        <v>28</v>
      </c>
      <c r="G166">
        <v>12516</v>
      </c>
      <c r="H166">
        <v>6094</v>
      </c>
      <c r="I166">
        <v>96</v>
      </c>
      <c r="J166">
        <v>147</v>
      </c>
      <c r="K166">
        <v>1839852</v>
      </c>
      <c r="L166">
        <v>165015</v>
      </c>
      <c r="M166">
        <v>1674837</v>
      </c>
      <c r="N166">
        <v>895818</v>
      </c>
      <c r="O166">
        <v>779019</v>
      </c>
      <c r="P166">
        <v>46.51</v>
      </c>
      <c r="Q166">
        <v>12</v>
      </c>
      <c r="R166">
        <v>135168</v>
      </c>
      <c r="S166">
        <v>12.5</v>
      </c>
      <c r="T166">
        <v>47</v>
      </c>
      <c r="U166">
        <v>4.63</v>
      </c>
      <c r="V166">
        <v>541457</v>
      </c>
      <c r="W166">
        <v>5685462</v>
      </c>
      <c r="X166">
        <v>10.5</v>
      </c>
      <c r="Y166" t="s">
        <v>39</v>
      </c>
    </row>
    <row r="167" spans="1:25" x14ac:dyDescent="0.3">
      <c r="A167" t="s">
        <v>366</v>
      </c>
      <c r="B167" t="s">
        <v>367</v>
      </c>
      <c r="C167" t="s">
        <v>32</v>
      </c>
      <c r="D167" s="1">
        <v>45529</v>
      </c>
      <c r="E167">
        <v>218</v>
      </c>
      <c r="F167" t="s">
        <v>28</v>
      </c>
      <c r="G167">
        <v>11102</v>
      </c>
      <c r="H167">
        <v>9519</v>
      </c>
      <c r="I167">
        <v>105</v>
      </c>
      <c r="J167">
        <v>157</v>
      </c>
      <c r="K167">
        <v>1743014</v>
      </c>
      <c r="L167">
        <v>345108</v>
      </c>
      <c r="M167">
        <v>1397906</v>
      </c>
      <c r="N167">
        <v>1494483</v>
      </c>
      <c r="O167">
        <v>-96577</v>
      </c>
      <c r="P167">
        <v>-6.91</v>
      </c>
      <c r="Q167">
        <v>3</v>
      </c>
      <c r="R167">
        <v>29973</v>
      </c>
      <c r="S167">
        <v>2.86</v>
      </c>
      <c r="T167">
        <v>39</v>
      </c>
      <c r="U167">
        <v>3.24</v>
      </c>
      <c r="V167">
        <v>173695</v>
      </c>
      <c r="W167">
        <v>3119086</v>
      </c>
      <c r="X167">
        <v>17.96</v>
      </c>
      <c r="Y167" t="s">
        <v>39</v>
      </c>
    </row>
    <row r="168" spans="1:25" x14ac:dyDescent="0.3">
      <c r="A168" t="s">
        <v>368</v>
      </c>
      <c r="B168" t="s">
        <v>369</v>
      </c>
      <c r="C168" t="s">
        <v>32</v>
      </c>
      <c r="D168" s="1">
        <v>44979</v>
      </c>
      <c r="E168">
        <v>768</v>
      </c>
      <c r="F168" t="s">
        <v>28</v>
      </c>
      <c r="G168">
        <v>2969</v>
      </c>
      <c r="H168">
        <v>1893</v>
      </c>
      <c r="I168">
        <v>185</v>
      </c>
      <c r="J168">
        <v>280</v>
      </c>
      <c r="K168">
        <v>831320</v>
      </c>
      <c r="L168">
        <v>160324</v>
      </c>
      <c r="M168">
        <v>670996</v>
      </c>
      <c r="N168">
        <v>530040</v>
      </c>
      <c r="O168">
        <v>140956</v>
      </c>
      <c r="P168">
        <v>21.01</v>
      </c>
      <c r="Q168">
        <v>19</v>
      </c>
      <c r="R168">
        <v>50768</v>
      </c>
      <c r="S168">
        <v>10.27</v>
      </c>
      <c r="T168">
        <v>83</v>
      </c>
      <c r="U168">
        <v>4.0199999999999996</v>
      </c>
      <c r="V168">
        <v>351635</v>
      </c>
      <c r="W168">
        <v>1287635</v>
      </c>
      <c r="X168">
        <v>3.66</v>
      </c>
      <c r="Y168" t="s">
        <v>39</v>
      </c>
    </row>
    <row r="169" spans="1:25" x14ac:dyDescent="0.3">
      <c r="A169" t="s">
        <v>370</v>
      </c>
      <c r="B169" t="s">
        <v>371</v>
      </c>
      <c r="C169" t="s">
        <v>32</v>
      </c>
      <c r="D169" s="1">
        <v>45220</v>
      </c>
      <c r="E169">
        <v>527</v>
      </c>
      <c r="F169" t="s">
        <v>28</v>
      </c>
      <c r="G169">
        <v>3075</v>
      </c>
      <c r="H169">
        <v>2339</v>
      </c>
      <c r="I169">
        <v>98</v>
      </c>
      <c r="J169">
        <v>145</v>
      </c>
      <c r="K169">
        <v>445875</v>
      </c>
      <c r="L169">
        <v>86128</v>
      </c>
      <c r="M169">
        <v>359747</v>
      </c>
      <c r="N169">
        <v>339155</v>
      </c>
      <c r="O169">
        <v>20592</v>
      </c>
      <c r="P169">
        <v>5.72</v>
      </c>
      <c r="Q169">
        <v>8</v>
      </c>
      <c r="R169">
        <v>22136</v>
      </c>
      <c r="S169">
        <v>8.16</v>
      </c>
      <c r="T169">
        <v>39</v>
      </c>
      <c r="U169">
        <v>3.54</v>
      </c>
      <c r="V169">
        <v>246620</v>
      </c>
      <c r="W169">
        <v>562143</v>
      </c>
      <c r="X169">
        <v>2.2799999999999998</v>
      </c>
      <c r="Y169" t="s">
        <v>39</v>
      </c>
    </row>
    <row r="170" spans="1:25" x14ac:dyDescent="0.3">
      <c r="A170" t="s">
        <v>372</v>
      </c>
      <c r="B170" t="s">
        <v>373</v>
      </c>
      <c r="C170" t="s">
        <v>32</v>
      </c>
      <c r="D170" s="1">
        <v>45268</v>
      </c>
      <c r="E170">
        <v>479</v>
      </c>
      <c r="F170" t="s">
        <v>28</v>
      </c>
      <c r="G170">
        <v>3361</v>
      </c>
      <c r="H170">
        <v>2047</v>
      </c>
      <c r="I170">
        <v>64</v>
      </c>
      <c r="J170">
        <v>99</v>
      </c>
      <c r="K170">
        <v>332739</v>
      </c>
      <c r="L170">
        <v>50911</v>
      </c>
      <c r="M170">
        <v>281828</v>
      </c>
      <c r="N170">
        <v>202653</v>
      </c>
      <c r="O170">
        <v>79175</v>
      </c>
      <c r="P170">
        <v>28.09</v>
      </c>
      <c r="Q170">
        <v>1</v>
      </c>
      <c r="R170">
        <v>3024</v>
      </c>
      <c r="S170">
        <v>1.56</v>
      </c>
      <c r="T170">
        <v>21</v>
      </c>
      <c r="U170">
        <v>3.86</v>
      </c>
      <c r="V170">
        <v>131114</v>
      </c>
      <c r="W170">
        <v>443246</v>
      </c>
      <c r="X170">
        <v>3.38</v>
      </c>
      <c r="Y170" t="s">
        <v>39</v>
      </c>
    </row>
    <row r="171" spans="1:25" x14ac:dyDescent="0.3">
      <c r="A171" t="s">
        <v>374</v>
      </c>
      <c r="B171" t="s">
        <v>375</v>
      </c>
      <c r="C171" t="s">
        <v>32</v>
      </c>
      <c r="D171" s="1">
        <v>44975</v>
      </c>
      <c r="E171">
        <v>772</v>
      </c>
      <c r="F171" t="s">
        <v>28</v>
      </c>
      <c r="G171">
        <v>6590</v>
      </c>
      <c r="H171">
        <v>5259</v>
      </c>
      <c r="I171">
        <v>133</v>
      </c>
      <c r="J171">
        <v>205</v>
      </c>
      <c r="K171">
        <v>1350950</v>
      </c>
      <c r="L171">
        <v>263064</v>
      </c>
      <c r="M171">
        <v>1087886</v>
      </c>
      <c r="N171">
        <v>1078095</v>
      </c>
      <c r="O171">
        <v>9791</v>
      </c>
      <c r="P171">
        <v>0.9</v>
      </c>
      <c r="Q171">
        <v>17</v>
      </c>
      <c r="R171">
        <v>100827</v>
      </c>
      <c r="S171">
        <v>12.78</v>
      </c>
      <c r="T171">
        <v>50</v>
      </c>
      <c r="U171">
        <v>3.32</v>
      </c>
      <c r="V171">
        <v>389917</v>
      </c>
      <c r="W171">
        <v>3172919</v>
      </c>
      <c r="X171">
        <v>8.14</v>
      </c>
      <c r="Y171" t="s">
        <v>39</v>
      </c>
    </row>
    <row r="172" spans="1:25" x14ac:dyDescent="0.3">
      <c r="A172" t="s">
        <v>376</v>
      </c>
      <c r="B172" t="s">
        <v>377</v>
      </c>
      <c r="C172" t="s">
        <v>32</v>
      </c>
      <c r="D172" s="1">
        <v>45619</v>
      </c>
      <c r="E172">
        <v>128</v>
      </c>
      <c r="F172" t="s">
        <v>28</v>
      </c>
      <c r="G172">
        <v>1535</v>
      </c>
      <c r="H172">
        <v>924</v>
      </c>
      <c r="I172">
        <v>252</v>
      </c>
      <c r="J172">
        <v>390</v>
      </c>
      <c r="K172">
        <v>598650</v>
      </c>
      <c r="L172">
        <v>69086</v>
      </c>
      <c r="M172">
        <v>529564</v>
      </c>
      <c r="N172">
        <v>360360</v>
      </c>
      <c r="O172">
        <v>169204</v>
      </c>
      <c r="P172">
        <v>31.95</v>
      </c>
      <c r="Q172">
        <v>21</v>
      </c>
      <c r="R172">
        <v>29001</v>
      </c>
      <c r="S172">
        <v>8.33</v>
      </c>
      <c r="T172">
        <v>99</v>
      </c>
      <c r="U172">
        <v>4.08</v>
      </c>
      <c r="V172">
        <v>513779</v>
      </c>
      <c r="W172">
        <v>1135600</v>
      </c>
      <c r="X172">
        <v>2.21</v>
      </c>
      <c r="Y172" t="s">
        <v>39</v>
      </c>
    </row>
    <row r="173" spans="1:25" x14ac:dyDescent="0.3">
      <c r="A173" t="s">
        <v>378</v>
      </c>
      <c r="B173" t="s">
        <v>379</v>
      </c>
      <c r="C173" t="s">
        <v>32</v>
      </c>
      <c r="D173" s="1">
        <v>44879</v>
      </c>
      <c r="E173">
        <v>868</v>
      </c>
      <c r="F173" t="s">
        <v>28</v>
      </c>
      <c r="G173">
        <v>5723</v>
      </c>
      <c r="H173">
        <v>3293</v>
      </c>
      <c r="I173">
        <v>68</v>
      </c>
      <c r="J173">
        <v>101</v>
      </c>
      <c r="K173">
        <v>578023</v>
      </c>
      <c r="L173">
        <v>115751</v>
      </c>
      <c r="M173">
        <v>462272</v>
      </c>
      <c r="N173">
        <v>332593</v>
      </c>
      <c r="O173">
        <v>129679</v>
      </c>
      <c r="P173">
        <v>28.05</v>
      </c>
      <c r="Q173">
        <v>7</v>
      </c>
      <c r="R173">
        <v>36050</v>
      </c>
      <c r="S173">
        <v>10.29</v>
      </c>
      <c r="T173">
        <v>29</v>
      </c>
      <c r="U173">
        <v>4.17</v>
      </c>
      <c r="V173">
        <v>588239</v>
      </c>
      <c r="W173">
        <v>3511475</v>
      </c>
      <c r="X173">
        <v>5.97</v>
      </c>
      <c r="Y173" t="s">
        <v>39</v>
      </c>
    </row>
    <row r="174" spans="1:25" x14ac:dyDescent="0.3">
      <c r="A174" t="s">
        <v>380</v>
      </c>
      <c r="B174" t="s">
        <v>381</v>
      </c>
      <c r="C174" t="s">
        <v>32</v>
      </c>
      <c r="D174" s="1">
        <v>45151</v>
      </c>
      <c r="E174">
        <v>596</v>
      </c>
      <c r="F174" t="s">
        <v>28</v>
      </c>
      <c r="G174">
        <v>7966</v>
      </c>
      <c r="H174">
        <v>5255</v>
      </c>
      <c r="I174">
        <v>73</v>
      </c>
      <c r="J174">
        <v>105</v>
      </c>
      <c r="K174">
        <v>836430</v>
      </c>
      <c r="L174">
        <v>111913</v>
      </c>
      <c r="M174">
        <v>724517</v>
      </c>
      <c r="N174">
        <v>551775</v>
      </c>
      <c r="O174">
        <v>172742</v>
      </c>
      <c r="P174">
        <v>23.84</v>
      </c>
      <c r="Q174">
        <v>11</v>
      </c>
      <c r="R174">
        <v>78859</v>
      </c>
      <c r="S174">
        <v>15.07</v>
      </c>
      <c r="T174">
        <v>26</v>
      </c>
      <c r="U174">
        <v>3.62</v>
      </c>
      <c r="V174">
        <v>495723</v>
      </c>
      <c r="W174">
        <v>4670899</v>
      </c>
      <c r="X174">
        <v>9.42</v>
      </c>
      <c r="Y174" t="s">
        <v>39</v>
      </c>
    </row>
    <row r="175" spans="1:25" x14ac:dyDescent="0.3">
      <c r="A175" t="s">
        <v>382</v>
      </c>
      <c r="B175" t="s">
        <v>383</v>
      </c>
      <c r="C175" t="s">
        <v>32</v>
      </c>
      <c r="D175" s="1">
        <v>45123</v>
      </c>
      <c r="E175">
        <v>624</v>
      </c>
      <c r="F175" t="s">
        <v>28</v>
      </c>
      <c r="G175">
        <v>14736</v>
      </c>
      <c r="H175">
        <v>10200</v>
      </c>
      <c r="I175">
        <v>68</v>
      </c>
      <c r="J175">
        <v>104</v>
      </c>
      <c r="K175">
        <v>1532544</v>
      </c>
      <c r="L175">
        <v>143484</v>
      </c>
      <c r="M175">
        <v>1389060</v>
      </c>
      <c r="N175">
        <v>1060800</v>
      </c>
      <c r="O175">
        <v>328260</v>
      </c>
      <c r="P175">
        <v>23.63</v>
      </c>
      <c r="Q175">
        <v>5</v>
      </c>
      <c r="R175">
        <v>66310</v>
      </c>
      <c r="S175">
        <v>7.35</v>
      </c>
      <c r="T175">
        <v>24</v>
      </c>
      <c r="U175">
        <v>4</v>
      </c>
      <c r="V175">
        <v>516423</v>
      </c>
      <c r="W175">
        <v>11116757</v>
      </c>
      <c r="X175">
        <v>21.53</v>
      </c>
      <c r="Y175" t="s">
        <v>39</v>
      </c>
    </row>
    <row r="176" spans="1:25" x14ac:dyDescent="0.3">
      <c r="A176" t="s">
        <v>384</v>
      </c>
      <c r="B176" t="s">
        <v>385</v>
      </c>
      <c r="C176" t="s">
        <v>32</v>
      </c>
      <c r="D176" s="1">
        <v>44888</v>
      </c>
      <c r="E176">
        <v>859</v>
      </c>
      <c r="F176" t="s">
        <v>28</v>
      </c>
      <c r="G176">
        <v>4834</v>
      </c>
      <c r="H176">
        <v>2451</v>
      </c>
      <c r="I176">
        <v>59</v>
      </c>
      <c r="J176">
        <v>86</v>
      </c>
      <c r="K176">
        <v>415724</v>
      </c>
      <c r="L176">
        <v>42422</v>
      </c>
      <c r="M176">
        <v>373302</v>
      </c>
      <c r="N176">
        <v>210786</v>
      </c>
      <c r="O176">
        <v>162516</v>
      </c>
      <c r="P176">
        <v>43.53</v>
      </c>
      <c r="Q176">
        <v>2</v>
      </c>
      <c r="R176">
        <v>8700</v>
      </c>
      <c r="S176">
        <v>3.39</v>
      </c>
      <c r="T176">
        <v>20</v>
      </c>
      <c r="U176">
        <v>4.58</v>
      </c>
      <c r="V176">
        <v>444979</v>
      </c>
      <c r="W176">
        <v>2255547</v>
      </c>
      <c r="X176">
        <v>5.07</v>
      </c>
      <c r="Y176" t="s">
        <v>29</v>
      </c>
    </row>
    <row r="177" spans="1:25" x14ac:dyDescent="0.3">
      <c r="A177" t="s">
        <v>386</v>
      </c>
      <c r="B177" t="s">
        <v>387</v>
      </c>
      <c r="C177" t="s">
        <v>32</v>
      </c>
      <c r="D177" s="1">
        <v>45616</v>
      </c>
      <c r="E177">
        <v>131</v>
      </c>
      <c r="F177" t="s">
        <v>28</v>
      </c>
      <c r="G177">
        <v>4384</v>
      </c>
      <c r="H177">
        <v>3383</v>
      </c>
      <c r="I177">
        <v>176</v>
      </c>
      <c r="J177">
        <v>266</v>
      </c>
      <c r="K177">
        <v>1166144</v>
      </c>
      <c r="L177">
        <v>178297</v>
      </c>
      <c r="M177">
        <v>987847</v>
      </c>
      <c r="N177">
        <v>899878</v>
      </c>
      <c r="O177">
        <v>87969</v>
      </c>
      <c r="P177">
        <v>8.91</v>
      </c>
      <c r="Q177">
        <v>4</v>
      </c>
      <c r="R177">
        <v>15780</v>
      </c>
      <c r="S177">
        <v>2.27</v>
      </c>
      <c r="T177">
        <v>78</v>
      </c>
      <c r="U177">
        <v>3.42</v>
      </c>
      <c r="V177">
        <v>454138</v>
      </c>
      <c r="W177">
        <v>2769687</v>
      </c>
      <c r="X177">
        <v>6.1</v>
      </c>
      <c r="Y177" t="s">
        <v>39</v>
      </c>
    </row>
    <row r="178" spans="1:25" x14ac:dyDescent="0.3">
      <c r="A178" t="s">
        <v>388</v>
      </c>
      <c r="B178" t="s">
        <v>389</v>
      </c>
      <c r="C178" t="s">
        <v>32</v>
      </c>
      <c r="D178" s="1">
        <v>44862</v>
      </c>
      <c r="E178">
        <v>885</v>
      </c>
      <c r="F178" t="s">
        <v>28</v>
      </c>
      <c r="G178">
        <v>15081</v>
      </c>
      <c r="H178">
        <v>7569</v>
      </c>
      <c r="I178">
        <v>94</v>
      </c>
      <c r="J178">
        <v>145</v>
      </c>
      <c r="K178">
        <v>2186745</v>
      </c>
      <c r="L178">
        <v>315179</v>
      </c>
      <c r="M178">
        <v>1871566</v>
      </c>
      <c r="N178">
        <v>1097505</v>
      </c>
      <c r="O178">
        <v>774061</v>
      </c>
      <c r="P178">
        <v>41.36</v>
      </c>
      <c r="Q178">
        <v>8</v>
      </c>
      <c r="R178">
        <v>108576</v>
      </c>
      <c r="S178">
        <v>8.51</v>
      </c>
      <c r="T178">
        <v>30</v>
      </c>
      <c r="U178">
        <v>4.47</v>
      </c>
      <c r="V178">
        <v>164234</v>
      </c>
      <c r="W178">
        <v>4860527</v>
      </c>
      <c r="X178">
        <v>29.6</v>
      </c>
      <c r="Y178" t="s">
        <v>39</v>
      </c>
    </row>
    <row r="179" spans="1:25" x14ac:dyDescent="0.3">
      <c r="A179" t="s">
        <v>390</v>
      </c>
      <c r="B179" t="s">
        <v>391</v>
      </c>
      <c r="C179" t="s">
        <v>32</v>
      </c>
      <c r="D179" s="1">
        <v>44936</v>
      </c>
      <c r="E179">
        <v>811</v>
      </c>
      <c r="F179" t="s">
        <v>28</v>
      </c>
      <c r="G179">
        <v>7656</v>
      </c>
      <c r="H179">
        <v>6793</v>
      </c>
      <c r="I179">
        <v>114</v>
      </c>
      <c r="J179">
        <v>174</v>
      </c>
      <c r="K179">
        <v>1332144</v>
      </c>
      <c r="L179">
        <v>231998</v>
      </c>
      <c r="M179">
        <v>1100146</v>
      </c>
      <c r="N179">
        <v>1181982</v>
      </c>
      <c r="O179">
        <v>-81836</v>
      </c>
      <c r="P179">
        <v>-7.44</v>
      </c>
      <c r="Q179">
        <v>16</v>
      </c>
      <c r="R179">
        <v>110240</v>
      </c>
      <c r="S179">
        <v>14.04</v>
      </c>
      <c r="T179">
        <v>44</v>
      </c>
      <c r="U179">
        <v>2.99</v>
      </c>
      <c r="V179">
        <v>171728</v>
      </c>
      <c r="W179">
        <v>1566199</v>
      </c>
      <c r="X179">
        <v>9.1199999999999992</v>
      </c>
      <c r="Y179" t="s">
        <v>39</v>
      </c>
    </row>
    <row r="180" spans="1:25" x14ac:dyDescent="0.3">
      <c r="A180" t="s">
        <v>392</v>
      </c>
      <c r="B180" t="s">
        <v>393</v>
      </c>
      <c r="C180" t="s">
        <v>32</v>
      </c>
      <c r="D180" s="1">
        <v>45315</v>
      </c>
      <c r="E180">
        <v>432</v>
      </c>
      <c r="F180" t="s">
        <v>28</v>
      </c>
      <c r="G180">
        <v>4846</v>
      </c>
      <c r="H180">
        <v>2706</v>
      </c>
      <c r="I180">
        <v>96</v>
      </c>
      <c r="J180">
        <v>155</v>
      </c>
      <c r="K180">
        <v>751130</v>
      </c>
      <c r="L180">
        <v>94841</v>
      </c>
      <c r="M180">
        <v>656289</v>
      </c>
      <c r="N180">
        <v>419430</v>
      </c>
      <c r="O180">
        <v>236859</v>
      </c>
      <c r="P180">
        <v>36.090000000000003</v>
      </c>
      <c r="Q180">
        <v>6</v>
      </c>
      <c r="R180">
        <v>26166</v>
      </c>
      <c r="S180">
        <v>6.25</v>
      </c>
      <c r="T180">
        <v>32</v>
      </c>
      <c r="U180">
        <v>4.08</v>
      </c>
      <c r="V180">
        <v>389856</v>
      </c>
      <c r="W180">
        <v>2385154</v>
      </c>
      <c r="X180">
        <v>6.12</v>
      </c>
      <c r="Y180" t="s">
        <v>39</v>
      </c>
    </row>
    <row r="181" spans="1:25" x14ac:dyDescent="0.3">
      <c r="A181" t="s">
        <v>394</v>
      </c>
      <c r="B181" t="s">
        <v>395</v>
      </c>
      <c r="C181" t="s">
        <v>32</v>
      </c>
      <c r="D181" s="1">
        <v>45629</v>
      </c>
      <c r="E181">
        <v>118</v>
      </c>
      <c r="F181" t="s">
        <v>28</v>
      </c>
      <c r="G181">
        <v>17593</v>
      </c>
      <c r="H181">
        <v>12482</v>
      </c>
      <c r="I181">
        <v>47</v>
      </c>
      <c r="J181">
        <v>71</v>
      </c>
      <c r="K181">
        <v>1249103</v>
      </c>
      <c r="L181">
        <v>182053</v>
      </c>
      <c r="M181">
        <v>1067050</v>
      </c>
      <c r="N181">
        <v>886222</v>
      </c>
      <c r="O181">
        <v>180828</v>
      </c>
      <c r="P181">
        <v>16.95</v>
      </c>
      <c r="Q181">
        <v>6</v>
      </c>
      <c r="R181">
        <v>94998</v>
      </c>
      <c r="S181">
        <v>12.77</v>
      </c>
      <c r="T181">
        <v>23</v>
      </c>
      <c r="U181">
        <v>3.67</v>
      </c>
      <c r="V181">
        <v>110581</v>
      </c>
      <c r="W181">
        <v>4453045</v>
      </c>
      <c r="X181">
        <v>40.270000000000003</v>
      </c>
      <c r="Y181" t="s">
        <v>39</v>
      </c>
    </row>
    <row r="182" spans="1:25" x14ac:dyDescent="0.3">
      <c r="A182" t="s">
        <v>396</v>
      </c>
      <c r="B182" t="s">
        <v>397</v>
      </c>
      <c r="C182" t="s">
        <v>32</v>
      </c>
      <c r="D182" s="1">
        <v>45346</v>
      </c>
      <c r="E182">
        <v>401</v>
      </c>
      <c r="F182" t="s">
        <v>28</v>
      </c>
      <c r="G182">
        <v>2357</v>
      </c>
      <c r="H182">
        <v>2003</v>
      </c>
      <c r="I182">
        <v>94</v>
      </c>
      <c r="J182">
        <v>142</v>
      </c>
      <c r="K182">
        <v>334694</v>
      </c>
      <c r="L182">
        <v>60292</v>
      </c>
      <c r="M182">
        <v>274402</v>
      </c>
      <c r="N182">
        <v>284426</v>
      </c>
      <c r="O182">
        <v>-10024</v>
      </c>
      <c r="P182">
        <v>-3.65</v>
      </c>
      <c r="Q182">
        <v>13</v>
      </c>
      <c r="R182">
        <v>27573</v>
      </c>
      <c r="S182">
        <v>13.83</v>
      </c>
      <c r="T182">
        <v>40</v>
      </c>
      <c r="U182">
        <v>3.18</v>
      </c>
      <c r="V182">
        <v>278613</v>
      </c>
      <c r="W182">
        <v>919310</v>
      </c>
      <c r="X182">
        <v>3.3</v>
      </c>
      <c r="Y182" t="s">
        <v>39</v>
      </c>
    </row>
    <row r="183" spans="1:25" x14ac:dyDescent="0.3">
      <c r="A183" t="s">
        <v>398</v>
      </c>
      <c r="B183" t="s">
        <v>399</v>
      </c>
      <c r="C183" t="s">
        <v>32</v>
      </c>
      <c r="D183" s="1">
        <v>45196</v>
      </c>
      <c r="E183">
        <v>551</v>
      </c>
      <c r="F183" t="s">
        <v>28</v>
      </c>
      <c r="G183">
        <v>14364</v>
      </c>
      <c r="H183">
        <v>12917</v>
      </c>
      <c r="I183">
        <v>84</v>
      </c>
      <c r="J183">
        <v>127</v>
      </c>
      <c r="K183">
        <v>1824228</v>
      </c>
      <c r="L183">
        <v>214345</v>
      </c>
      <c r="M183">
        <v>1609883</v>
      </c>
      <c r="N183">
        <v>1640459</v>
      </c>
      <c r="O183">
        <v>-30576</v>
      </c>
      <c r="P183">
        <v>-1.9</v>
      </c>
      <c r="Q183">
        <v>9</v>
      </c>
      <c r="R183">
        <v>116343</v>
      </c>
      <c r="S183">
        <v>10.71</v>
      </c>
      <c r="T183">
        <v>41</v>
      </c>
      <c r="U183">
        <v>2.88</v>
      </c>
      <c r="V183">
        <v>155717</v>
      </c>
      <c r="W183">
        <v>2791122</v>
      </c>
      <c r="X183">
        <v>17.920000000000002</v>
      </c>
      <c r="Y183" t="s">
        <v>39</v>
      </c>
    </row>
    <row r="184" spans="1:25" x14ac:dyDescent="0.3">
      <c r="A184" t="s">
        <v>400</v>
      </c>
      <c r="B184" t="s">
        <v>401</v>
      </c>
      <c r="C184" t="s">
        <v>32</v>
      </c>
      <c r="D184" s="1">
        <v>45392</v>
      </c>
      <c r="E184">
        <v>355</v>
      </c>
      <c r="F184" t="s">
        <v>28</v>
      </c>
      <c r="G184">
        <v>2516</v>
      </c>
      <c r="H184">
        <v>1184</v>
      </c>
      <c r="I184">
        <v>153</v>
      </c>
      <c r="J184">
        <v>228</v>
      </c>
      <c r="K184">
        <v>573648</v>
      </c>
      <c r="L184">
        <v>47855</v>
      </c>
      <c r="M184">
        <v>525793</v>
      </c>
      <c r="N184">
        <v>269952</v>
      </c>
      <c r="O184">
        <v>255841</v>
      </c>
      <c r="P184">
        <v>48.66</v>
      </c>
      <c r="Q184">
        <v>6</v>
      </c>
      <c r="R184">
        <v>13584</v>
      </c>
      <c r="S184">
        <v>3.92</v>
      </c>
      <c r="T184">
        <v>64</v>
      </c>
      <c r="U184">
        <v>4.41</v>
      </c>
      <c r="V184">
        <v>528018</v>
      </c>
      <c r="W184">
        <v>1461632</v>
      </c>
      <c r="X184">
        <v>2.77</v>
      </c>
      <c r="Y184" t="s">
        <v>29</v>
      </c>
    </row>
    <row r="185" spans="1:25" x14ac:dyDescent="0.3">
      <c r="A185" t="s">
        <v>402</v>
      </c>
      <c r="B185" t="s">
        <v>403</v>
      </c>
      <c r="C185" t="s">
        <v>32</v>
      </c>
      <c r="D185" s="1">
        <v>45094</v>
      </c>
      <c r="E185">
        <v>653</v>
      </c>
      <c r="F185" t="s">
        <v>28</v>
      </c>
      <c r="G185">
        <v>12976</v>
      </c>
      <c r="H185">
        <v>5949</v>
      </c>
      <c r="I185">
        <v>62</v>
      </c>
      <c r="J185">
        <v>99</v>
      </c>
      <c r="K185">
        <v>1284624</v>
      </c>
      <c r="L185">
        <v>211777</v>
      </c>
      <c r="M185">
        <v>1072847</v>
      </c>
      <c r="N185">
        <v>588951</v>
      </c>
      <c r="O185">
        <v>483896</v>
      </c>
      <c r="P185">
        <v>45.1</v>
      </c>
      <c r="Q185">
        <v>7</v>
      </c>
      <c r="R185">
        <v>81746</v>
      </c>
      <c r="S185">
        <v>11.29</v>
      </c>
      <c r="T185">
        <v>24</v>
      </c>
      <c r="U185">
        <v>4.4400000000000004</v>
      </c>
      <c r="V185">
        <v>416257</v>
      </c>
      <c r="W185">
        <v>5788293</v>
      </c>
      <c r="X185">
        <v>13.91</v>
      </c>
      <c r="Y185" t="s">
        <v>39</v>
      </c>
    </row>
    <row r="186" spans="1:25" x14ac:dyDescent="0.3">
      <c r="A186" t="s">
        <v>404</v>
      </c>
      <c r="B186" t="s">
        <v>405</v>
      </c>
      <c r="C186" t="s">
        <v>32</v>
      </c>
      <c r="D186" s="1">
        <v>45175</v>
      </c>
      <c r="E186">
        <v>572</v>
      </c>
      <c r="F186" t="s">
        <v>28</v>
      </c>
      <c r="G186">
        <v>19366</v>
      </c>
      <c r="H186">
        <v>11022</v>
      </c>
      <c r="I186">
        <v>55</v>
      </c>
      <c r="J186">
        <v>82</v>
      </c>
      <c r="K186">
        <v>1588012</v>
      </c>
      <c r="L186">
        <v>142548</v>
      </c>
      <c r="M186">
        <v>1445464</v>
      </c>
      <c r="N186">
        <v>903804</v>
      </c>
      <c r="O186">
        <v>541660</v>
      </c>
      <c r="P186">
        <v>37.47</v>
      </c>
      <c r="Q186">
        <v>7</v>
      </c>
      <c r="R186">
        <v>122003</v>
      </c>
      <c r="S186">
        <v>12.73</v>
      </c>
      <c r="T186">
        <v>22</v>
      </c>
      <c r="U186">
        <v>4.18</v>
      </c>
      <c r="V186">
        <v>96009</v>
      </c>
      <c r="W186">
        <v>2640907</v>
      </c>
      <c r="X186">
        <v>27.51</v>
      </c>
      <c r="Y186" t="s">
        <v>61</v>
      </c>
    </row>
    <row r="187" spans="1:25" x14ac:dyDescent="0.3">
      <c r="A187" t="s">
        <v>406</v>
      </c>
      <c r="B187" t="s">
        <v>407</v>
      </c>
      <c r="C187" t="s">
        <v>32</v>
      </c>
      <c r="D187" s="1">
        <v>44973</v>
      </c>
      <c r="E187">
        <v>774</v>
      </c>
      <c r="F187" t="s">
        <v>28</v>
      </c>
      <c r="G187">
        <v>15979</v>
      </c>
      <c r="H187">
        <v>9838</v>
      </c>
      <c r="I187">
        <v>83</v>
      </c>
      <c r="J187">
        <v>127</v>
      </c>
      <c r="K187">
        <v>2029333</v>
      </c>
      <c r="L187">
        <v>264758</v>
      </c>
      <c r="M187">
        <v>1764575</v>
      </c>
      <c r="N187">
        <v>1249426</v>
      </c>
      <c r="O187">
        <v>515149</v>
      </c>
      <c r="P187">
        <v>29.19</v>
      </c>
      <c r="Q187">
        <v>6</v>
      </c>
      <c r="R187">
        <v>86286</v>
      </c>
      <c r="S187">
        <v>7.23</v>
      </c>
      <c r="T187">
        <v>32</v>
      </c>
      <c r="U187">
        <v>4.17</v>
      </c>
      <c r="V187">
        <v>267097</v>
      </c>
      <c r="W187">
        <v>5711794</v>
      </c>
      <c r="X187">
        <v>21.38</v>
      </c>
      <c r="Y187" t="s">
        <v>39</v>
      </c>
    </row>
    <row r="188" spans="1:25" x14ac:dyDescent="0.3">
      <c r="A188" t="s">
        <v>408</v>
      </c>
      <c r="B188" t="s">
        <v>409</v>
      </c>
      <c r="C188" t="s">
        <v>32</v>
      </c>
      <c r="D188" s="1">
        <v>45152</v>
      </c>
      <c r="E188">
        <v>595</v>
      </c>
      <c r="F188" t="s">
        <v>28</v>
      </c>
      <c r="G188">
        <v>1672</v>
      </c>
      <c r="H188">
        <v>1267</v>
      </c>
      <c r="I188">
        <v>268</v>
      </c>
      <c r="J188">
        <v>401</v>
      </c>
      <c r="K188">
        <v>670472</v>
      </c>
      <c r="L188">
        <v>69416</v>
      </c>
      <c r="M188">
        <v>601056</v>
      </c>
      <c r="N188">
        <v>508067</v>
      </c>
      <c r="O188">
        <v>92989</v>
      </c>
      <c r="P188">
        <v>15.47</v>
      </c>
      <c r="Q188">
        <v>23</v>
      </c>
      <c r="R188">
        <v>34592</v>
      </c>
      <c r="S188">
        <v>8.58</v>
      </c>
      <c r="T188">
        <v>115</v>
      </c>
      <c r="U188">
        <v>3.42</v>
      </c>
      <c r="V188">
        <v>542554</v>
      </c>
      <c r="W188">
        <v>1194439</v>
      </c>
      <c r="X188">
        <v>2.2000000000000002</v>
      </c>
      <c r="Y188" t="s">
        <v>39</v>
      </c>
    </row>
    <row r="189" spans="1:25" x14ac:dyDescent="0.3">
      <c r="A189" t="s">
        <v>410</v>
      </c>
      <c r="B189" t="s">
        <v>411</v>
      </c>
      <c r="C189" t="s">
        <v>32</v>
      </c>
      <c r="D189" s="1">
        <v>45634</v>
      </c>
      <c r="E189">
        <v>113</v>
      </c>
      <c r="F189" t="s">
        <v>28</v>
      </c>
      <c r="G189">
        <v>9674</v>
      </c>
      <c r="H189">
        <v>7152</v>
      </c>
      <c r="I189">
        <v>68</v>
      </c>
      <c r="J189">
        <v>106</v>
      </c>
      <c r="K189">
        <v>1025444</v>
      </c>
      <c r="L189">
        <v>114672</v>
      </c>
      <c r="M189">
        <v>910772</v>
      </c>
      <c r="N189">
        <v>758112</v>
      </c>
      <c r="O189">
        <v>152660</v>
      </c>
      <c r="P189">
        <v>16.760000000000002</v>
      </c>
      <c r="Q189">
        <v>4</v>
      </c>
      <c r="R189">
        <v>34824</v>
      </c>
      <c r="S189">
        <v>5.88</v>
      </c>
      <c r="T189">
        <v>32</v>
      </c>
      <c r="U189">
        <v>3.78</v>
      </c>
      <c r="V189">
        <v>359776</v>
      </c>
      <c r="W189">
        <v>3756755</v>
      </c>
      <c r="X189">
        <v>10.44</v>
      </c>
      <c r="Y189" t="s">
        <v>39</v>
      </c>
    </row>
    <row r="190" spans="1:25" x14ac:dyDescent="0.3">
      <c r="A190" t="s">
        <v>412</v>
      </c>
      <c r="B190" t="s">
        <v>413</v>
      </c>
      <c r="C190" t="s">
        <v>32</v>
      </c>
      <c r="D190" s="1">
        <v>45230</v>
      </c>
      <c r="E190">
        <v>517</v>
      </c>
      <c r="F190" t="s">
        <v>28</v>
      </c>
      <c r="G190">
        <v>14708</v>
      </c>
      <c r="H190">
        <v>7315</v>
      </c>
      <c r="I190">
        <v>84</v>
      </c>
      <c r="J190">
        <v>133</v>
      </c>
      <c r="K190">
        <v>1956164</v>
      </c>
      <c r="L190">
        <v>227308</v>
      </c>
      <c r="M190">
        <v>1728856</v>
      </c>
      <c r="N190">
        <v>972895</v>
      </c>
      <c r="O190">
        <v>755961</v>
      </c>
      <c r="P190">
        <v>43.73</v>
      </c>
      <c r="Q190">
        <v>13</v>
      </c>
      <c r="R190">
        <v>172081</v>
      </c>
      <c r="S190">
        <v>15.48</v>
      </c>
      <c r="T190">
        <v>32</v>
      </c>
      <c r="U190">
        <v>4.47</v>
      </c>
      <c r="V190">
        <v>359109</v>
      </c>
      <c r="W190">
        <v>4527480</v>
      </c>
      <c r="X190">
        <v>12.61</v>
      </c>
      <c r="Y190" t="s">
        <v>39</v>
      </c>
    </row>
    <row r="191" spans="1:25" x14ac:dyDescent="0.3">
      <c r="A191" t="s">
        <v>414</v>
      </c>
      <c r="B191" t="s">
        <v>415</v>
      </c>
      <c r="C191" t="s">
        <v>32</v>
      </c>
      <c r="D191" s="1">
        <v>45579</v>
      </c>
      <c r="E191">
        <v>168</v>
      </c>
      <c r="F191" t="s">
        <v>28</v>
      </c>
      <c r="G191">
        <v>9038</v>
      </c>
      <c r="H191">
        <v>4875</v>
      </c>
      <c r="I191">
        <v>55</v>
      </c>
      <c r="J191">
        <v>80</v>
      </c>
      <c r="K191">
        <v>723040</v>
      </c>
      <c r="L191">
        <v>114731</v>
      </c>
      <c r="M191">
        <v>608309</v>
      </c>
      <c r="N191">
        <v>390000</v>
      </c>
      <c r="O191">
        <v>218309</v>
      </c>
      <c r="P191">
        <v>35.89</v>
      </c>
      <c r="Q191">
        <v>1</v>
      </c>
      <c r="R191">
        <v>8134</v>
      </c>
      <c r="S191">
        <v>1.82</v>
      </c>
      <c r="T191">
        <v>19</v>
      </c>
      <c r="U191">
        <v>4.24</v>
      </c>
      <c r="V191">
        <v>300148</v>
      </c>
      <c r="W191">
        <v>3809266</v>
      </c>
      <c r="X191">
        <v>12.69</v>
      </c>
      <c r="Y191" t="s">
        <v>29</v>
      </c>
    </row>
    <row r="192" spans="1:25" x14ac:dyDescent="0.3">
      <c r="A192" t="s">
        <v>416</v>
      </c>
      <c r="B192" t="s">
        <v>417</v>
      </c>
      <c r="C192" t="s">
        <v>32</v>
      </c>
      <c r="D192" s="1">
        <v>45511</v>
      </c>
      <c r="E192">
        <v>236</v>
      </c>
      <c r="F192" t="s">
        <v>28</v>
      </c>
      <c r="G192">
        <v>3660</v>
      </c>
      <c r="H192">
        <v>3162</v>
      </c>
      <c r="I192">
        <v>144</v>
      </c>
      <c r="J192">
        <v>222</v>
      </c>
      <c r="K192">
        <v>812520</v>
      </c>
      <c r="L192">
        <v>152477</v>
      </c>
      <c r="M192">
        <v>660043</v>
      </c>
      <c r="N192">
        <v>701964</v>
      </c>
      <c r="O192">
        <v>-41921</v>
      </c>
      <c r="P192">
        <v>-6.35</v>
      </c>
      <c r="Q192">
        <v>2</v>
      </c>
      <c r="R192">
        <v>6588</v>
      </c>
      <c r="S192">
        <v>1.39</v>
      </c>
      <c r="T192">
        <v>55</v>
      </c>
      <c r="U192">
        <v>3.03</v>
      </c>
      <c r="V192">
        <v>234959</v>
      </c>
      <c r="W192">
        <v>1198071</v>
      </c>
      <c r="X192">
        <v>5.0999999999999996</v>
      </c>
      <c r="Y192" t="s">
        <v>39</v>
      </c>
    </row>
    <row r="193" spans="1:25" x14ac:dyDescent="0.3">
      <c r="A193" t="s">
        <v>418</v>
      </c>
      <c r="B193" t="s">
        <v>419</v>
      </c>
      <c r="C193" t="s">
        <v>32</v>
      </c>
      <c r="D193" s="1">
        <v>45196</v>
      </c>
      <c r="E193">
        <v>551</v>
      </c>
      <c r="F193" t="s">
        <v>28</v>
      </c>
      <c r="G193">
        <v>14950</v>
      </c>
      <c r="H193">
        <v>13170</v>
      </c>
      <c r="I193">
        <v>31</v>
      </c>
      <c r="J193">
        <v>50</v>
      </c>
      <c r="K193">
        <v>747500</v>
      </c>
      <c r="L193">
        <v>117713</v>
      </c>
      <c r="M193">
        <v>629787</v>
      </c>
      <c r="N193">
        <v>658500</v>
      </c>
      <c r="O193">
        <v>-28713</v>
      </c>
      <c r="P193">
        <v>-4.5599999999999996</v>
      </c>
      <c r="Q193">
        <v>1</v>
      </c>
      <c r="R193">
        <v>13455</v>
      </c>
      <c r="S193">
        <v>3.23</v>
      </c>
      <c r="T193">
        <v>9</v>
      </c>
      <c r="U193">
        <v>3.22</v>
      </c>
      <c r="V193">
        <v>330429</v>
      </c>
      <c r="W193">
        <v>4818592</v>
      </c>
      <c r="X193">
        <v>14.58</v>
      </c>
      <c r="Y193" t="s">
        <v>39</v>
      </c>
    </row>
    <row r="194" spans="1:25" x14ac:dyDescent="0.3">
      <c r="A194" t="s">
        <v>420</v>
      </c>
      <c r="B194" t="s">
        <v>421</v>
      </c>
      <c r="C194" t="s">
        <v>32</v>
      </c>
      <c r="D194" s="1">
        <v>45602</v>
      </c>
      <c r="E194">
        <v>145</v>
      </c>
      <c r="F194" t="s">
        <v>28</v>
      </c>
      <c r="G194">
        <v>12203</v>
      </c>
      <c r="H194">
        <v>8165</v>
      </c>
      <c r="I194">
        <v>103</v>
      </c>
      <c r="J194">
        <v>160</v>
      </c>
      <c r="K194">
        <v>1952480</v>
      </c>
      <c r="L194">
        <v>312759</v>
      </c>
      <c r="M194">
        <v>1639721</v>
      </c>
      <c r="N194">
        <v>1306400</v>
      </c>
      <c r="O194">
        <v>333321</v>
      </c>
      <c r="P194">
        <v>20.329999999999998</v>
      </c>
      <c r="Q194">
        <v>8</v>
      </c>
      <c r="R194">
        <v>87856</v>
      </c>
      <c r="S194">
        <v>7.77</v>
      </c>
      <c r="T194">
        <v>35</v>
      </c>
      <c r="U194">
        <v>3.71</v>
      </c>
      <c r="V194">
        <v>260423</v>
      </c>
      <c r="W194">
        <v>2298026</v>
      </c>
      <c r="X194">
        <v>8.82</v>
      </c>
      <c r="Y194" t="s">
        <v>39</v>
      </c>
    </row>
    <row r="195" spans="1:25" x14ac:dyDescent="0.3">
      <c r="A195" t="s">
        <v>422</v>
      </c>
      <c r="B195" t="s">
        <v>423</v>
      </c>
      <c r="C195" t="s">
        <v>32</v>
      </c>
      <c r="D195" s="1">
        <v>45076</v>
      </c>
      <c r="E195">
        <v>671</v>
      </c>
      <c r="F195" t="s">
        <v>28</v>
      </c>
      <c r="G195">
        <v>1439</v>
      </c>
      <c r="H195">
        <v>1213</v>
      </c>
      <c r="I195">
        <v>275</v>
      </c>
      <c r="J195">
        <v>396</v>
      </c>
      <c r="K195">
        <v>569844</v>
      </c>
      <c r="L195">
        <v>93170</v>
      </c>
      <c r="M195">
        <v>476674</v>
      </c>
      <c r="N195">
        <v>480348</v>
      </c>
      <c r="O195">
        <v>-3674</v>
      </c>
      <c r="P195">
        <v>-0.77</v>
      </c>
      <c r="Q195">
        <v>17</v>
      </c>
      <c r="R195">
        <v>22015</v>
      </c>
      <c r="S195">
        <v>6.18</v>
      </c>
      <c r="T195">
        <v>122</v>
      </c>
      <c r="U195">
        <v>3.15</v>
      </c>
      <c r="V195">
        <v>114089</v>
      </c>
      <c r="W195">
        <v>75226</v>
      </c>
      <c r="X195">
        <v>0.66</v>
      </c>
      <c r="Y195" t="s">
        <v>39</v>
      </c>
    </row>
    <row r="196" spans="1:25" x14ac:dyDescent="0.3">
      <c r="A196" t="s">
        <v>424</v>
      </c>
      <c r="B196" t="s">
        <v>425</v>
      </c>
      <c r="C196" t="s">
        <v>32</v>
      </c>
      <c r="D196" s="1">
        <v>45215</v>
      </c>
      <c r="E196">
        <v>532</v>
      </c>
      <c r="F196" t="s">
        <v>28</v>
      </c>
      <c r="G196">
        <v>15042</v>
      </c>
      <c r="H196">
        <v>7115</v>
      </c>
      <c r="I196">
        <v>45</v>
      </c>
      <c r="J196">
        <v>72</v>
      </c>
      <c r="K196">
        <v>1083024</v>
      </c>
      <c r="L196">
        <v>143166</v>
      </c>
      <c r="M196">
        <v>939858</v>
      </c>
      <c r="N196">
        <v>512280</v>
      </c>
      <c r="O196">
        <v>427578</v>
      </c>
      <c r="P196">
        <v>45.49</v>
      </c>
      <c r="Q196">
        <v>6</v>
      </c>
      <c r="R196">
        <v>81222</v>
      </c>
      <c r="S196">
        <v>13.33</v>
      </c>
      <c r="T196">
        <v>19</v>
      </c>
      <c r="U196">
        <v>4.3899999999999997</v>
      </c>
      <c r="V196">
        <v>777424</v>
      </c>
      <c r="W196">
        <v>11595838</v>
      </c>
      <c r="X196">
        <v>14.92</v>
      </c>
      <c r="Y196" t="s">
        <v>39</v>
      </c>
    </row>
    <row r="197" spans="1:25" x14ac:dyDescent="0.3">
      <c r="A197" t="s">
        <v>426</v>
      </c>
      <c r="B197" t="s">
        <v>427</v>
      </c>
      <c r="C197" t="s">
        <v>32</v>
      </c>
      <c r="D197" s="1">
        <v>44861</v>
      </c>
      <c r="E197">
        <v>886</v>
      </c>
      <c r="F197" t="s">
        <v>28</v>
      </c>
      <c r="G197">
        <v>8478</v>
      </c>
      <c r="H197">
        <v>3965</v>
      </c>
      <c r="I197">
        <v>74</v>
      </c>
      <c r="J197">
        <v>107</v>
      </c>
      <c r="K197">
        <v>907146</v>
      </c>
      <c r="L197">
        <v>121993</v>
      </c>
      <c r="M197">
        <v>785153</v>
      </c>
      <c r="N197">
        <v>424255</v>
      </c>
      <c r="O197">
        <v>360898</v>
      </c>
      <c r="P197">
        <v>45.97</v>
      </c>
      <c r="Q197">
        <v>0</v>
      </c>
      <c r="R197">
        <v>0</v>
      </c>
      <c r="S197">
        <v>0</v>
      </c>
      <c r="T197">
        <v>25</v>
      </c>
      <c r="U197">
        <v>4.46</v>
      </c>
      <c r="V197">
        <v>426043</v>
      </c>
      <c r="W197">
        <v>5224267</v>
      </c>
      <c r="X197">
        <v>12.26</v>
      </c>
      <c r="Y197" t="s">
        <v>39</v>
      </c>
    </row>
    <row r="198" spans="1:25" x14ac:dyDescent="0.3">
      <c r="A198" t="s">
        <v>428</v>
      </c>
      <c r="B198" t="s">
        <v>429</v>
      </c>
      <c r="C198" t="s">
        <v>32</v>
      </c>
      <c r="D198" s="1">
        <v>45461</v>
      </c>
      <c r="E198">
        <v>286</v>
      </c>
      <c r="F198" t="s">
        <v>28</v>
      </c>
      <c r="G198">
        <v>14922</v>
      </c>
      <c r="H198">
        <v>11988</v>
      </c>
      <c r="I198">
        <v>80</v>
      </c>
      <c r="J198">
        <v>124</v>
      </c>
      <c r="K198">
        <v>1850328</v>
      </c>
      <c r="L198">
        <v>245212</v>
      </c>
      <c r="M198">
        <v>1605116</v>
      </c>
      <c r="N198">
        <v>1486512</v>
      </c>
      <c r="O198">
        <v>118604</v>
      </c>
      <c r="P198">
        <v>7.39</v>
      </c>
      <c r="Q198">
        <v>8</v>
      </c>
      <c r="R198">
        <v>107432</v>
      </c>
      <c r="S198">
        <v>10</v>
      </c>
      <c r="T198">
        <v>26</v>
      </c>
      <c r="U198">
        <v>3.37</v>
      </c>
      <c r="V198">
        <v>629276</v>
      </c>
      <c r="W198">
        <v>10898877</v>
      </c>
      <c r="X198">
        <v>17.32</v>
      </c>
      <c r="Y198" t="s">
        <v>39</v>
      </c>
    </row>
    <row r="199" spans="1:25" x14ac:dyDescent="0.3">
      <c r="A199" t="s">
        <v>430</v>
      </c>
      <c r="B199" t="s">
        <v>431</v>
      </c>
      <c r="C199" t="s">
        <v>32</v>
      </c>
      <c r="D199" s="1">
        <v>45565</v>
      </c>
      <c r="E199">
        <v>182</v>
      </c>
      <c r="F199" t="s">
        <v>28</v>
      </c>
      <c r="G199">
        <v>15111</v>
      </c>
      <c r="H199">
        <v>12425</v>
      </c>
      <c r="I199">
        <v>42</v>
      </c>
      <c r="J199">
        <v>60</v>
      </c>
      <c r="K199">
        <v>906660</v>
      </c>
      <c r="L199">
        <v>150284</v>
      </c>
      <c r="M199">
        <v>756376</v>
      </c>
      <c r="N199">
        <v>745500</v>
      </c>
      <c r="O199">
        <v>10876</v>
      </c>
      <c r="P199">
        <v>1.44</v>
      </c>
      <c r="Q199">
        <v>7</v>
      </c>
      <c r="R199">
        <v>95193</v>
      </c>
      <c r="S199">
        <v>16.670000000000002</v>
      </c>
      <c r="T199">
        <v>15</v>
      </c>
      <c r="U199">
        <v>3.23</v>
      </c>
      <c r="V199">
        <v>397990</v>
      </c>
      <c r="W199">
        <v>8564329</v>
      </c>
      <c r="X199">
        <v>21.52</v>
      </c>
      <c r="Y199" t="s">
        <v>39</v>
      </c>
    </row>
    <row r="200" spans="1:25" x14ac:dyDescent="0.3">
      <c r="A200" t="s">
        <v>432</v>
      </c>
      <c r="B200" t="s">
        <v>433</v>
      </c>
      <c r="C200" t="s">
        <v>32</v>
      </c>
      <c r="D200" s="1">
        <v>45142</v>
      </c>
      <c r="E200">
        <v>605</v>
      </c>
      <c r="F200" t="s">
        <v>28</v>
      </c>
      <c r="G200">
        <v>18321</v>
      </c>
      <c r="H200">
        <v>12018</v>
      </c>
      <c r="I200">
        <v>23</v>
      </c>
      <c r="J200">
        <v>35</v>
      </c>
      <c r="K200">
        <v>641235</v>
      </c>
      <c r="L200">
        <v>98613</v>
      </c>
      <c r="M200">
        <v>542622</v>
      </c>
      <c r="N200">
        <v>420630</v>
      </c>
      <c r="O200">
        <v>121992</v>
      </c>
      <c r="P200">
        <v>22.48</v>
      </c>
      <c r="Q200">
        <v>0</v>
      </c>
      <c r="R200">
        <v>0</v>
      </c>
      <c r="S200">
        <v>0</v>
      </c>
      <c r="T200">
        <v>10</v>
      </c>
      <c r="U200">
        <v>3.45</v>
      </c>
      <c r="V200">
        <v>86865</v>
      </c>
      <c r="W200">
        <v>926415</v>
      </c>
      <c r="X200">
        <v>10.66</v>
      </c>
      <c r="Y200" t="s">
        <v>39</v>
      </c>
    </row>
    <row r="201" spans="1:25" x14ac:dyDescent="0.3">
      <c r="A201" t="s">
        <v>434</v>
      </c>
      <c r="B201" t="s">
        <v>435</v>
      </c>
      <c r="C201" t="s">
        <v>32</v>
      </c>
      <c r="D201" s="1">
        <v>45040</v>
      </c>
      <c r="E201">
        <v>707</v>
      </c>
      <c r="F201" t="s">
        <v>28</v>
      </c>
      <c r="G201">
        <v>16969</v>
      </c>
      <c r="H201">
        <v>13559</v>
      </c>
      <c r="I201">
        <v>33</v>
      </c>
      <c r="J201">
        <v>55</v>
      </c>
      <c r="K201">
        <v>933295</v>
      </c>
      <c r="L201">
        <v>144816</v>
      </c>
      <c r="M201">
        <v>788479</v>
      </c>
      <c r="N201">
        <v>745745</v>
      </c>
      <c r="O201">
        <v>42734</v>
      </c>
      <c r="P201">
        <v>5.42</v>
      </c>
      <c r="Q201">
        <v>2</v>
      </c>
      <c r="R201">
        <v>30544</v>
      </c>
      <c r="S201">
        <v>6.06</v>
      </c>
      <c r="T201">
        <v>12</v>
      </c>
      <c r="U201">
        <v>3.33</v>
      </c>
      <c r="V201">
        <v>215192</v>
      </c>
      <c r="W201">
        <v>3678547</v>
      </c>
      <c r="X201">
        <v>17.09</v>
      </c>
      <c r="Y201" t="s">
        <v>39</v>
      </c>
    </row>
    <row r="202" spans="1:25" x14ac:dyDescent="0.3">
      <c r="A202" t="s">
        <v>436</v>
      </c>
      <c r="B202" t="s">
        <v>437</v>
      </c>
      <c r="C202" t="s">
        <v>32</v>
      </c>
      <c r="D202" s="1">
        <v>45399</v>
      </c>
      <c r="E202">
        <v>348</v>
      </c>
      <c r="F202" t="s">
        <v>28</v>
      </c>
      <c r="G202">
        <v>15614</v>
      </c>
      <c r="H202">
        <v>8405</v>
      </c>
      <c r="I202">
        <v>59</v>
      </c>
      <c r="J202">
        <v>93</v>
      </c>
      <c r="K202">
        <v>1452102</v>
      </c>
      <c r="L202">
        <v>202268</v>
      </c>
      <c r="M202">
        <v>1249834</v>
      </c>
      <c r="N202">
        <v>781665</v>
      </c>
      <c r="O202">
        <v>468169</v>
      </c>
      <c r="P202">
        <v>37.46</v>
      </c>
      <c r="Q202">
        <v>5</v>
      </c>
      <c r="R202">
        <v>70260</v>
      </c>
      <c r="S202">
        <v>8.4700000000000006</v>
      </c>
      <c r="T202">
        <v>22</v>
      </c>
      <c r="U202">
        <v>4.3899999999999997</v>
      </c>
      <c r="V202">
        <v>336933</v>
      </c>
      <c r="W202">
        <v>7328568</v>
      </c>
      <c r="X202">
        <v>21.75</v>
      </c>
      <c r="Y202" t="s">
        <v>39</v>
      </c>
    </row>
    <row r="203" spans="1:25" x14ac:dyDescent="0.3">
      <c r="A203" t="s">
        <v>438</v>
      </c>
      <c r="B203" t="s">
        <v>439</v>
      </c>
      <c r="C203" t="s">
        <v>32</v>
      </c>
      <c r="D203" s="1">
        <v>45423</v>
      </c>
      <c r="E203">
        <v>324</v>
      </c>
      <c r="F203" t="s">
        <v>28</v>
      </c>
      <c r="G203">
        <v>13759</v>
      </c>
      <c r="H203">
        <v>7620</v>
      </c>
      <c r="I203">
        <v>51</v>
      </c>
      <c r="J203">
        <v>75</v>
      </c>
      <c r="K203">
        <v>1031925</v>
      </c>
      <c r="L203">
        <v>175907</v>
      </c>
      <c r="M203">
        <v>856018</v>
      </c>
      <c r="N203">
        <v>571500</v>
      </c>
      <c r="O203">
        <v>284518</v>
      </c>
      <c r="P203">
        <v>33.24</v>
      </c>
      <c r="Q203">
        <v>5</v>
      </c>
      <c r="R203">
        <v>61915</v>
      </c>
      <c r="S203">
        <v>9.8000000000000007</v>
      </c>
      <c r="T203">
        <v>22</v>
      </c>
      <c r="U203">
        <v>4.0199999999999996</v>
      </c>
      <c r="V203">
        <v>371621</v>
      </c>
      <c r="W203">
        <v>5639020</v>
      </c>
      <c r="X203">
        <v>15.17</v>
      </c>
      <c r="Y203" t="s">
        <v>39</v>
      </c>
    </row>
    <row r="204" spans="1:25" x14ac:dyDescent="0.3">
      <c r="A204" t="s">
        <v>440</v>
      </c>
      <c r="B204" t="s">
        <v>441</v>
      </c>
      <c r="C204" t="s">
        <v>32</v>
      </c>
      <c r="D204" s="1">
        <v>45633</v>
      </c>
      <c r="E204">
        <v>114</v>
      </c>
      <c r="F204" t="s">
        <v>28</v>
      </c>
      <c r="G204">
        <v>11588</v>
      </c>
      <c r="H204">
        <v>9759</v>
      </c>
      <c r="I204">
        <v>70</v>
      </c>
      <c r="J204">
        <v>99</v>
      </c>
      <c r="K204">
        <v>1147212</v>
      </c>
      <c r="L204">
        <v>138504</v>
      </c>
      <c r="M204">
        <v>1008708</v>
      </c>
      <c r="N204">
        <v>966141</v>
      </c>
      <c r="O204">
        <v>42567</v>
      </c>
      <c r="P204">
        <v>4.22</v>
      </c>
      <c r="Q204">
        <v>6</v>
      </c>
      <c r="R204">
        <v>62574</v>
      </c>
      <c r="S204">
        <v>8.57</v>
      </c>
      <c r="T204">
        <v>23</v>
      </c>
      <c r="U204">
        <v>3.11</v>
      </c>
      <c r="V204">
        <v>657263</v>
      </c>
      <c r="W204">
        <v>8569379</v>
      </c>
      <c r="X204">
        <v>13.04</v>
      </c>
      <c r="Y204" t="s">
        <v>39</v>
      </c>
    </row>
    <row r="205" spans="1:25" x14ac:dyDescent="0.3">
      <c r="A205" t="s">
        <v>442</v>
      </c>
      <c r="B205" t="s">
        <v>443</v>
      </c>
      <c r="C205" t="s">
        <v>32</v>
      </c>
      <c r="D205" s="1">
        <v>45146</v>
      </c>
      <c r="E205">
        <v>601</v>
      </c>
      <c r="F205" t="s">
        <v>28</v>
      </c>
      <c r="G205">
        <v>4367</v>
      </c>
      <c r="H205">
        <v>2912</v>
      </c>
      <c r="I205">
        <v>141</v>
      </c>
      <c r="J205">
        <v>219</v>
      </c>
      <c r="K205">
        <v>956373</v>
      </c>
      <c r="L205">
        <v>110456</v>
      </c>
      <c r="M205">
        <v>845917</v>
      </c>
      <c r="N205">
        <v>637728</v>
      </c>
      <c r="O205">
        <v>208189</v>
      </c>
      <c r="P205">
        <v>24.61</v>
      </c>
      <c r="Q205">
        <v>12</v>
      </c>
      <c r="R205">
        <v>47160</v>
      </c>
      <c r="S205">
        <v>8.51</v>
      </c>
      <c r="T205">
        <v>63</v>
      </c>
      <c r="U205">
        <v>3.79</v>
      </c>
      <c r="V205">
        <v>81705</v>
      </c>
      <c r="W205">
        <v>282712</v>
      </c>
      <c r="X205">
        <v>3.46</v>
      </c>
      <c r="Y205" t="s">
        <v>39</v>
      </c>
    </row>
    <row r="206" spans="1:25" x14ac:dyDescent="0.3">
      <c r="A206" t="s">
        <v>444</v>
      </c>
      <c r="B206" t="s">
        <v>445</v>
      </c>
      <c r="C206" t="s">
        <v>32</v>
      </c>
      <c r="D206" s="1">
        <v>45091</v>
      </c>
      <c r="E206">
        <v>656</v>
      </c>
      <c r="F206" t="s">
        <v>28</v>
      </c>
      <c r="G206">
        <v>9606</v>
      </c>
      <c r="H206">
        <v>4988</v>
      </c>
      <c r="I206">
        <v>75</v>
      </c>
      <c r="J206">
        <v>104</v>
      </c>
      <c r="K206">
        <v>999024</v>
      </c>
      <c r="L206">
        <v>165838</v>
      </c>
      <c r="M206">
        <v>833186</v>
      </c>
      <c r="N206">
        <v>518752</v>
      </c>
      <c r="O206">
        <v>314434</v>
      </c>
      <c r="P206">
        <v>37.74</v>
      </c>
      <c r="Q206">
        <v>14</v>
      </c>
      <c r="R206">
        <v>121030</v>
      </c>
      <c r="S206">
        <v>18.670000000000002</v>
      </c>
      <c r="T206">
        <v>22</v>
      </c>
      <c r="U206">
        <v>4.55</v>
      </c>
      <c r="V206">
        <v>411860</v>
      </c>
      <c r="W206">
        <v>6223421</v>
      </c>
      <c r="X206">
        <v>15.11</v>
      </c>
      <c r="Y206" t="s">
        <v>39</v>
      </c>
    </row>
    <row r="207" spans="1:25" x14ac:dyDescent="0.3">
      <c r="A207" t="s">
        <v>446</v>
      </c>
      <c r="B207" t="s">
        <v>447</v>
      </c>
      <c r="C207" t="s">
        <v>32</v>
      </c>
      <c r="D207" s="1">
        <v>45007</v>
      </c>
      <c r="E207">
        <v>740</v>
      </c>
      <c r="F207" t="s">
        <v>28</v>
      </c>
      <c r="G207">
        <v>3360</v>
      </c>
      <c r="H207">
        <v>2264</v>
      </c>
      <c r="I207">
        <v>130</v>
      </c>
      <c r="J207">
        <v>188</v>
      </c>
      <c r="K207">
        <v>631680</v>
      </c>
      <c r="L207">
        <v>108201</v>
      </c>
      <c r="M207">
        <v>523479</v>
      </c>
      <c r="N207">
        <v>425632</v>
      </c>
      <c r="O207">
        <v>97847</v>
      </c>
      <c r="P207">
        <v>18.690000000000001</v>
      </c>
      <c r="Q207">
        <v>8</v>
      </c>
      <c r="R207">
        <v>24192</v>
      </c>
      <c r="S207">
        <v>6.15</v>
      </c>
      <c r="T207">
        <v>43</v>
      </c>
      <c r="U207">
        <v>3.86</v>
      </c>
      <c r="V207">
        <v>268164</v>
      </c>
      <c r="W207">
        <v>978508</v>
      </c>
      <c r="X207">
        <v>3.65</v>
      </c>
      <c r="Y207" t="s">
        <v>39</v>
      </c>
    </row>
    <row r="208" spans="1:25" x14ac:dyDescent="0.3">
      <c r="A208" t="s">
        <v>448</v>
      </c>
      <c r="B208" t="s">
        <v>449</v>
      </c>
      <c r="C208" t="s">
        <v>32</v>
      </c>
      <c r="D208" s="1">
        <v>45412</v>
      </c>
      <c r="E208">
        <v>335</v>
      </c>
      <c r="F208" t="s">
        <v>28</v>
      </c>
      <c r="G208">
        <v>11362</v>
      </c>
      <c r="H208">
        <v>5918</v>
      </c>
      <c r="I208">
        <v>105</v>
      </c>
      <c r="J208">
        <v>152</v>
      </c>
      <c r="K208">
        <v>1727024</v>
      </c>
      <c r="L208">
        <v>292627</v>
      </c>
      <c r="M208">
        <v>1434397</v>
      </c>
      <c r="N208">
        <v>899536</v>
      </c>
      <c r="O208">
        <v>534861</v>
      </c>
      <c r="P208">
        <v>37.29</v>
      </c>
      <c r="Q208">
        <v>9</v>
      </c>
      <c r="R208">
        <v>92025</v>
      </c>
      <c r="S208">
        <v>8.57</v>
      </c>
      <c r="T208">
        <v>42</v>
      </c>
      <c r="U208">
        <v>4.3099999999999996</v>
      </c>
      <c r="V208">
        <v>720535</v>
      </c>
      <c r="W208">
        <v>5887927</v>
      </c>
      <c r="X208">
        <v>8.17</v>
      </c>
      <c r="Y208" t="s">
        <v>39</v>
      </c>
    </row>
    <row r="209" spans="1:25" x14ac:dyDescent="0.3">
      <c r="A209" t="s">
        <v>450</v>
      </c>
      <c r="B209" t="s">
        <v>451</v>
      </c>
      <c r="C209" t="s">
        <v>32</v>
      </c>
      <c r="D209" s="1">
        <v>45261</v>
      </c>
      <c r="E209">
        <v>486</v>
      </c>
      <c r="F209" t="s">
        <v>28</v>
      </c>
      <c r="G209">
        <v>7206</v>
      </c>
      <c r="H209">
        <v>3998</v>
      </c>
      <c r="I209">
        <v>105</v>
      </c>
      <c r="J209">
        <v>153</v>
      </c>
      <c r="K209">
        <v>1102518</v>
      </c>
      <c r="L209">
        <v>160636</v>
      </c>
      <c r="M209">
        <v>941882</v>
      </c>
      <c r="N209">
        <v>611694</v>
      </c>
      <c r="O209">
        <v>330188</v>
      </c>
      <c r="P209">
        <v>35.06</v>
      </c>
      <c r="Q209">
        <v>13</v>
      </c>
      <c r="R209">
        <v>84305</v>
      </c>
      <c r="S209">
        <v>12.38</v>
      </c>
      <c r="T209">
        <v>46</v>
      </c>
      <c r="U209">
        <v>4.1500000000000004</v>
      </c>
      <c r="V209">
        <v>72528</v>
      </c>
      <c r="W209">
        <v>744375</v>
      </c>
      <c r="X209">
        <v>10.26</v>
      </c>
      <c r="Y209" t="s">
        <v>61</v>
      </c>
    </row>
    <row r="210" spans="1:25" x14ac:dyDescent="0.3">
      <c r="A210" t="s">
        <v>452</v>
      </c>
      <c r="B210" t="s">
        <v>453</v>
      </c>
      <c r="C210" t="s">
        <v>32</v>
      </c>
      <c r="D210" s="1">
        <v>45536</v>
      </c>
      <c r="E210">
        <v>211</v>
      </c>
      <c r="F210" t="s">
        <v>28</v>
      </c>
      <c r="G210">
        <v>16124</v>
      </c>
      <c r="H210">
        <v>12734</v>
      </c>
      <c r="I210">
        <v>26</v>
      </c>
      <c r="J210">
        <v>39</v>
      </c>
      <c r="K210">
        <v>628836</v>
      </c>
      <c r="L210">
        <v>73997</v>
      </c>
      <c r="M210">
        <v>554839</v>
      </c>
      <c r="N210">
        <v>496626</v>
      </c>
      <c r="O210">
        <v>58213</v>
      </c>
      <c r="P210">
        <v>10.49</v>
      </c>
      <c r="Q210">
        <v>6</v>
      </c>
      <c r="R210">
        <v>87066</v>
      </c>
      <c r="S210">
        <v>23.08</v>
      </c>
      <c r="T210">
        <v>8</v>
      </c>
      <c r="U210">
        <v>3.56</v>
      </c>
      <c r="V210">
        <v>386228</v>
      </c>
      <c r="W210">
        <v>8126115</v>
      </c>
      <c r="X210">
        <v>21.04</v>
      </c>
      <c r="Y210" t="s">
        <v>39</v>
      </c>
    </row>
    <row r="211" spans="1:25" x14ac:dyDescent="0.3">
      <c r="A211" t="s">
        <v>454</v>
      </c>
      <c r="B211" t="s">
        <v>455</v>
      </c>
      <c r="C211" t="s">
        <v>32</v>
      </c>
      <c r="D211" s="1">
        <v>45456</v>
      </c>
      <c r="E211">
        <v>291</v>
      </c>
      <c r="F211" t="s">
        <v>28</v>
      </c>
      <c r="G211">
        <v>15517</v>
      </c>
      <c r="H211">
        <v>12540</v>
      </c>
      <c r="I211">
        <v>82</v>
      </c>
      <c r="J211">
        <v>118</v>
      </c>
      <c r="K211">
        <v>1831006</v>
      </c>
      <c r="L211">
        <v>311266</v>
      </c>
      <c r="M211">
        <v>1519740</v>
      </c>
      <c r="N211">
        <v>1479720</v>
      </c>
      <c r="O211">
        <v>40020</v>
      </c>
      <c r="P211">
        <v>2.63</v>
      </c>
      <c r="Q211">
        <v>6</v>
      </c>
      <c r="R211">
        <v>83790</v>
      </c>
      <c r="S211">
        <v>7.32</v>
      </c>
      <c r="T211">
        <v>34</v>
      </c>
      <c r="U211">
        <v>3.25</v>
      </c>
      <c r="V211">
        <v>341063</v>
      </c>
      <c r="W211">
        <v>6494430</v>
      </c>
      <c r="X211">
        <v>19.04</v>
      </c>
      <c r="Y211" t="s">
        <v>39</v>
      </c>
    </row>
    <row r="212" spans="1:25" x14ac:dyDescent="0.3">
      <c r="A212" t="s">
        <v>456</v>
      </c>
      <c r="B212" t="s">
        <v>457</v>
      </c>
      <c r="C212" t="s">
        <v>32</v>
      </c>
      <c r="D212" s="1">
        <v>44943</v>
      </c>
      <c r="E212">
        <v>804</v>
      </c>
      <c r="F212" t="s">
        <v>28</v>
      </c>
      <c r="G212">
        <v>12440</v>
      </c>
      <c r="H212">
        <v>8313</v>
      </c>
      <c r="I212">
        <v>67</v>
      </c>
      <c r="J212">
        <v>99</v>
      </c>
      <c r="K212">
        <v>1231560</v>
      </c>
      <c r="L212">
        <v>178553</v>
      </c>
      <c r="M212">
        <v>1053007</v>
      </c>
      <c r="N212">
        <v>822987</v>
      </c>
      <c r="O212">
        <v>230020</v>
      </c>
      <c r="P212">
        <v>21.84</v>
      </c>
      <c r="Q212">
        <v>8</v>
      </c>
      <c r="R212">
        <v>89568</v>
      </c>
      <c r="S212">
        <v>11.94</v>
      </c>
      <c r="T212">
        <v>30</v>
      </c>
      <c r="U212">
        <v>3.93</v>
      </c>
      <c r="V212">
        <v>433189</v>
      </c>
      <c r="W212">
        <v>7534790</v>
      </c>
      <c r="X212">
        <v>17.39</v>
      </c>
      <c r="Y212" t="s">
        <v>39</v>
      </c>
    </row>
    <row r="213" spans="1:25" x14ac:dyDescent="0.3">
      <c r="A213" t="s">
        <v>458</v>
      </c>
      <c r="B213" t="s">
        <v>459</v>
      </c>
      <c r="C213" t="s">
        <v>32</v>
      </c>
      <c r="D213" s="1">
        <v>45465</v>
      </c>
      <c r="E213">
        <v>282</v>
      </c>
      <c r="F213" t="s">
        <v>28</v>
      </c>
      <c r="G213">
        <v>9808</v>
      </c>
      <c r="H213">
        <v>4654</v>
      </c>
      <c r="I213">
        <v>82</v>
      </c>
      <c r="J213">
        <v>116</v>
      </c>
      <c r="K213">
        <v>1137728</v>
      </c>
      <c r="L213">
        <v>91028</v>
      </c>
      <c r="M213">
        <v>1046700</v>
      </c>
      <c r="N213">
        <v>539864</v>
      </c>
      <c r="O213">
        <v>506836</v>
      </c>
      <c r="P213">
        <v>48.42</v>
      </c>
      <c r="Q213">
        <v>4</v>
      </c>
      <c r="R213">
        <v>35308</v>
      </c>
      <c r="S213">
        <v>4.88</v>
      </c>
      <c r="T213">
        <v>36</v>
      </c>
      <c r="U213">
        <v>4.4400000000000004</v>
      </c>
      <c r="V213">
        <v>556292</v>
      </c>
      <c r="W213">
        <v>5480096</v>
      </c>
      <c r="X213">
        <v>9.85</v>
      </c>
      <c r="Y213" t="s">
        <v>29</v>
      </c>
    </row>
    <row r="214" spans="1:25" x14ac:dyDescent="0.3">
      <c r="A214" t="s">
        <v>460</v>
      </c>
      <c r="B214" t="s">
        <v>461</v>
      </c>
      <c r="C214" t="s">
        <v>32</v>
      </c>
      <c r="D214" s="1">
        <v>45345</v>
      </c>
      <c r="E214">
        <v>402</v>
      </c>
      <c r="F214" t="s">
        <v>28</v>
      </c>
      <c r="G214">
        <v>6519</v>
      </c>
      <c r="H214">
        <v>3628</v>
      </c>
      <c r="I214">
        <v>57</v>
      </c>
      <c r="J214">
        <v>78</v>
      </c>
      <c r="K214">
        <v>508482</v>
      </c>
      <c r="L214">
        <v>100581</v>
      </c>
      <c r="M214">
        <v>407901</v>
      </c>
      <c r="N214">
        <v>282984</v>
      </c>
      <c r="O214">
        <v>124917</v>
      </c>
      <c r="P214">
        <v>30.62</v>
      </c>
      <c r="Q214">
        <v>4</v>
      </c>
      <c r="R214">
        <v>23468</v>
      </c>
      <c r="S214">
        <v>7.02</v>
      </c>
      <c r="T214">
        <v>20</v>
      </c>
      <c r="U214">
        <v>4.4000000000000004</v>
      </c>
      <c r="V214">
        <v>787749</v>
      </c>
      <c r="W214">
        <v>5037374</v>
      </c>
      <c r="X214">
        <v>6.39</v>
      </c>
      <c r="Y214" t="s">
        <v>39</v>
      </c>
    </row>
    <row r="215" spans="1:25" x14ac:dyDescent="0.3">
      <c r="A215" t="s">
        <v>462</v>
      </c>
      <c r="B215" t="s">
        <v>463</v>
      </c>
      <c r="C215" t="s">
        <v>32</v>
      </c>
      <c r="D215" s="1">
        <v>45081</v>
      </c>
      <c r="E215">
        <v>666</v>
      </c>
      <c r="F215" t="s">
        <v>28</v>
      </c>
      <c r="G215">
        <v>16861</v>
      </c>
      <c r="H215">
        <v>11705</v>
      </c>
      <c r="I215">
        <v>48</v>
      </c>
      <c r="J215">
        <v>74</v>
      </c>
      <c r="K215">
        <v>1247714</v>
      </c>
      <c r="L215">
        <v>139083</v>
      </c>
      <c r="M215">
        <v>1108631</v>
      </c>
      <c r="N215">
        <v>866170</v>
      </c>
      <c r="O215">
        <v>242461</v>
      </c>
      <c r="P215">
        <v>21.87</v>
      </c>
      <c r="Q215">
        <v>5</v>
      </c>
      <c r="R215">
        <v>75870</v>
      </c>
      <c r="S215">
        <v>10.42</v>
      </c>
      <c r="T215">
        <v>19</v>
      </c>
      <c r="U215">
        <v>3.53</v>
      </c>
      <c r="V215">
        <v>674057</v>
      </c>
      <c r="W215">
        <v>10368163</v>
      </c>
      <c r="X215">
        <v>15.38</v>
      </c>
      <c r="Y215" t="s">
        <v>39</v>
      </c>
    </row>
    <row r="216" spans="1:25" x14ac:dyDescent="0.3">
      <c r="A216" t="s">
        <v>464</v>
      </c>
      <c r="B216" t="s">
        <v>465</v>
      </c>
      <c r="C216" t="s">
        <v>32</v>
      </c>
      <c r="D216" s="1">
        <v>44945</v>
      </c>
      <c r="E216">
        <v>802</v>
      </c>
      <c r="F216" t="s">
        <v>28</v>
      </c>
      <c r="G216">
        <v>9662</v>
      </c>
      <c r="H216">
        <v>6362</v>
      </c>
      <c r="I216">
        <v>70</v>
      </c>
      <c r="J216">
        <v>106</v>
      </c>
      <c r="K216">
        <v>1024172</v>
      </c>
      <c r="L216">
        <v>150888</v>
      </c>
      <c r="M216">
        <v>873284</v>
      </c>
      <c r="N216">
        <v>674372</v>
      </c>
      <c r="O216">
        <v>198912</v>
      </c>
      <c r="P216">
        <v>22.78</v>
      </c>
      <c r="Q216">
        <v>14</v>
      </c>
      <c r="R216">
        <v>121730</v>
      </c>
      <c r="S216">
        <v>20</v>
      </c>
      <c r="T216">
        <v>23</v>
      </c>
      <c r="U216">
        <v>3.74</v>
      </c>
      <c r="V216">
        <v>132882</v>
      </c>
      <c r="W216">
        <v>2492234</v>
      </c>
      <c r="X216">
        <v>18.760000000000002</v>
      </c>
      <c r="Y216" t="s">
        <v>39</v>
      </c>
    </row>
    <row r="217" spans="1:25" x14ac:dyDescent="0.3">
      <c r="A217" t="s">
        <v>466</v>
      </c>
      <c r="B217" t="s">
        <v>467</v>
      </c>
      <c r="C217" t="s">
        <v>32</v>
      </c>
      <c r="D217" s="1">
        <v>45034</v>
      </c>
      <c r="E217">
        <v>713</v>
      </c>
      <c r="F217" t="s">
        <v>28</v>
      </c>
      <c r="G217">
        <v>1975</v>
      </c>
      <c r="H217">
        <v>1270</v>
      </c>
      <c r="I217">
        <v>126</v>
      </c>
      <c r="J217">
        <v>194</v>
      </c>
      <c r="K217">
        <v>383150</v>
      </c>
      <c r="L217">
        <v>75167</v>
      </c>
      <c r="M217">
        <v>307983</v>
      </c>
      <c r="N217">
        <v>246380</v>
      </c>
      <c r="O217">
        <v>61603</v>
      </c>
      <c r="P217">
        <v>20</v>
      </c>
      <c r="Q217">
        <v>13</v>
      </c>
      <c r="R217">
        <v>23101</v>
      </c>
      <c r="S217">
        <v>10.32</v>
      </c>
      <c r="T217">
        <v>49</v>
      </c>
      <c r="U217">
        <v>3.78</v>
      </c>
      <c r="V217">
        <v>675668</v>
      </c>
      <c r="W217">
        <v>1535915</v>
      </c>
      <c r="X217">
        <v>2.27</v>
      </c>
      <c r="Y217" t="s">
        <v>39</v>
      </c>
    </row>
    <row r="218" spans="1:25" x14ac:dyDescent="0.3">
      <c r="A218" t="s">
        <v>468</v>
      </c>
      <c r="B218" t="s">
        <v>469</v>
      </c>
      <c r="C218" t="s">
        <v>32</v>
      </c>
      <c r="D218" s="1">
        <v>44934</v>
      </c>
      <c r="E218">
        <v>813</v>
      </c>
      <c r="F218" t="s">
        <v>28</v>
      </c>
      <c r="G218">
        <v>4192</v>
      </c>
      <c r="H218">
        <v>3530</v>
      </c>
      <c r="I218">
        <v>73</v>
      </c>
      <c r="J218">
        <v>111</v>
      </c>
      <c r="K218">
        <v>465312</v>
      </c>
      <c r="L218">
        <v>59435</v>
      </c>
      <c r="M218">
        <v>405877</v>
      </c>
      <c r="N218">
        <v>391830</v>
      </c>
      <c r="O218">
        <v>14047</v>
      </c>
      <c r="P218">
        <v>3.46</v>
      </c>
      <c r="Q218">
        <v>3</v>
      </c>
      <c r="R218">
        <v>11316</v>
      </c>
      <c r="S218">
        <v>4.1100000000000003</v>
      </c>
      <c r="T218">
        <v>31</v>
      </c>
      <c r="U218">
        <v>3</v>
      </c>
      <c r="V218">
        <v>631727</v>
      </c>
      <c r="W218">
        <v>2816279</v>
      </c>
      <c r="X218">
        <v>4.46</v>
      </c>
      <c r="Y218" t="s">
        <v>39</v>
      </c>
    </row>
    <row r="219" spans="1:25" x14ac:dyDescent="0.3">
      <c r="A219" t="s">
        <v>470</v>
      </c>
      <c r="B219" t="s">
        <v>471</v>
      </c>
      <c r="C219" t="s">
        <v>32</v>
      </c>
      <c r="D219" s="1">
        <v>44876</v>
      </c>
      <c r="E219">
        <v>871</v>
      </c>
      <c r="F219" t="s">
        <v>28</v>
      </c>
      <c r="G219">
        <v>16981</v>
      </c>
      <c r="H219">
        <v>12215</v>
      </c>
      <c r="I219">
        <v>78</v>
      </c>
      <c r="J219">
        <v>108</v>
      </c>
      <c r="K219">
        <v>1833948</v>
      </c>
      <c r="L219">
        <v>308629</v>
      </c>
      <c r="M219">
        <v>1525319</v>
      </c>
      <c r="N219">
        <v>1319220</v>
      </c>
      <c r="O219">
        <v>206099</v>
      </c>
      <c r="P219">
        <v>13.51</v>
      </c>
      <c r="Q219">
        <v>3</v>
      </c>
      <c r="R219">
        <v>45846</v>
      </c>
      <c r="S219">
        <v>3.85</v>
      </c>
      <c r="T219">
        <v>26</v>
      </c>
      <c r="U219">
        <v>3.5</v>
      </c>
      <c r="V219">
        <v>504964</v>
      </c>
      <c r="W219">
        <v>8071828</v>
      </c>
      <c r="X219">
        <v>15.98</v>
      </c>
      <c r="Y219" t="s">
        <v>39</v>
      </c>
    </row>
    <row r="220" spans="1:25" x14ac:dyDescent="0.3">
      <c r="A220" t="s">
        <v>472</v>
      </c>
      <c r="B220" t="s">
        <v>473</v>
      </c>
      <c r="C220" t="s">
        <v>32</v>
      </c>
      <c r="D220" s="1">
        <v>45462</v>
      </c>
      <c r="E220">
        <v>285</v>
      </c>
      <c r="F220" t="s">
        <v>28</v>
      </c>
      <c r="G220">
        <v>17191</v>
      </c>
      <c r="H220">
        <v>14390</v>
      </c>
      <c r="I220">
        <v>25</v>
      </c>
      <c r="J220">
        <v>35</v>
      </c>
      <c r="K220">
        <v>601685</v>
      </c>
      <c r="L220">
        <v>65496</v>
      </c>
      <c r="M220">
        <v>536189</v>
      </c>
      <c r="N220">
        <v>503650</v>
      </c>
      <c r="O220">
        <v>32539</v>
      </c>
      <c r="P220">
        <v>6.07</v>
      </c>
      <c r="Q220">
        <v>2</v>
      </c>
      <c r="R220">
        <v>30942</v>
      </c>
      <c r="S220">
        <v>8</v>
      </c>
      <c r="T220">
        <v>12</v>
      </c>
      <c r="U220">
        <v>3.17</v>
      </c>
      <c r="V220">
        <v>407438</v>
      </c>
      <c r="W220">
        <v>6234850</v>
      </c>
      <c r="X220">
        <v>15.3</v>
      </c>
      <c r="Y220" t="s">
        <v>39</v>
      </c>
    </row>
    <row r="221" spans="1:25" x14ac:dyDescent="0.3">
      <c r="A221" t="s">
        <v>474</v>
      </c>
      <c r="B221" t="s">
        <v>475</v>
      </c>
      <c r="C221" t="s">
        <v>32</v>
      </c>
      <c r="D221" s="1">
        <v>45560</v>
      </c>
      <c r="E221">
        <v>187</v>
      </c>
      <c r="F221" t="s">
        <v>28</v>
      </c>
      <c r="G221">
        <v>17001</v>
      </c>
      <c r="H221">
        <v>11228</v>
      </c>
      <c r="I221">
        <v>64</v>
      </c>
      <c r="J221">
        <v>89</v>
      </c>
      <c r="K221">
        <v>1513089</v>
      </c>
      <c r="L221">
        <v>246549</v>
      </c>
      <c r="M221">
        <v>1266540</v>
      </c>
      <c r="N221">
        <v>999292</v>
      </c>
      <c r="O221">
        <v>267248</v>
      </c>
      <c r="P221">
        <v>21.1</v>
      </c>
      <c r="Q221">
        <v>8</v>
      </c>
      <c r="R221">
        <v>122400</v>
      </c>
      <c r="S221">
        <v>12.5</v>
      </c>
      <c r="T221">
        <v>25</v>
      </c>
      <c r="U221">
        <v>3.9</v>
      </c>
      <c r="V221">
        <v>526674</v>
      </c>
      <c r="W221">
        <v>8876260</v>
      </c>
      <c r="X221">
        <v>16.850000000000001</v>
      </c>
      <c r="Y221" t="s">
        <v>39</v>
      </c>
    </row>
    <row r="222" spans="1:25" x14ac:dyDescent="0.3">
      <c r="A222" t="s">
        <v>476</v>
      </c>
      <c r="B222" t="s">
        <v>477</v>
      </c>
      <c r="C222" t="s">
        <v>32</v>
      </c>
      <c r="D222" s="1">
        <v>45577</v>
      </c>
      <c r="E222">
        <v>170</v>
      </c>
      <c r="F222" t="s">
        <v>28</v>
      </c>
      <c r="G222">
        <v>19425</v>
      </c>
      <c r="H222">
        <v>14793</v>
      </c>
      <c r="I222">
        <v>40</v>
      </c>
      <c r="J222">
        <v>63</v>
      </c>
      <c r="K222">
        <v>1223775</v>
      </c>
      <c r="L222">
        <v>233107</v>
      </c>
      <c r="M222">
        <v>990668</v>
      </c>
      <c r="N222">
        <v>931959</v>
      </c>
      <c r="O222">
        <v>58709</v>
      </c>
      <c r="P222">
        <v>5.93</v>
      </c>
      <c r="Q222">
        <v>3</v>
      </c>
      <c r="R222">
        <v>52446</v>
      </c>
      <c r="S222">
        <v>7.5</v>
      </c>
      <c r="T222">
        <v>15</v>
      </c>
      <c r="U222">
        <v>3.2</v>
      </c>
      <c r="V222">
        <v>251180</v>
      </c>
      <c r="W222">
        <v>4747445</v>
      </c>
      <c r="X222">
        <v>18.899999999999999</v>
      </c>
      <c r="Y222" t="s">
        <v>39</v>
      </c>
    </row>
    <row r="223" spans="1:25" x14ac:dyDescent="0.3">
      <c r="A223" t="s">
        <v>478</v>
      </c>
      <c r="B223" t="s">
        <v>479</v>
      </c>
      <c r="C223" t="s">
        <v>32</v>
      </c>
      <c r="D223" s="1">
        <v>44887</v>
      </c>
      <c r="E223">
        <v>860</v>
      </c>
      <c r="F223" t="s">
        <v>28</v>
      </c>
      <c r="G223">
        <v>19226</v>
      </c>
      <c r="H223">
        <v>15334</v>
      </c>
      <c r="I223">
        <v>23</v>
      </c>
      <c r="J223">
        <v>30</v>
      </c>
      <c r="K223">
        <v>576780</v>
      </c>
      <c r="L223">
        <v>121015</v>
      </c>
      <c r="M223">
        <v>455765</v>
      </c>
      <c r="N223">
        <v>460020</v>
      </c>
      <c r="O223">
        <v>-4255</v>
      </c>
      <c r="P223">
        <v>-0.93</v>
      </c>
      <c r="Q223">
        <v>0</v>
      </c>
      <c r="R223">
        <v>0</v>
      </c>
      <c r="S223">
        <v>0</v>
      </c>
      <c r="T223">
        <v>15</v>
      </c>
      <c r="U223">
        <v>3.2</v>
      </c>
      <c r="V223">
        <v>545644</v>
      </c>
      <c r="W223">
        <v>10683991</v>
      </c>
      <c r="X223">
        <v>19.579999999999998</v>
      </c>
      <c r="Y223" t="s">
        <v>39</v>
      </c>
    </row>
    <row r="224" spans="1:25" x14ac:dyDescent="0.3">
      <c r="A224" t="s">
        <v>480</v>
      </c>
      <c r="B224" t="s">
        <v>481</v>
      </c>
      <c r="C224" t="s">
        <v>32</v>
      </c>
      <c r="D224" s="1">
        <v>45083</v>
      </c>
      <c r="E224">
        <v>664</v>
      </c>
      <c r="F224" t="s">
        <v>28</v>
      </c>
      <c r="G224">
        <v>5141</v>
      </c>
      <c r="H224">
        <v>2726</v>
      </c>
      <c r="I224">
        <v>43</v>
      </c>
      <c r="J224">
        <v>63</v>
      </c>
      <c r="K224">
        <v>323883</v>
      </c>
      <c r="L224">
        <v>46635</v>
      </c>
      <c r="M224">
        <v>277248</v>
      </c>
      <c r="N224">
        <v>171738</v>
      </c>
      <c r="O224">
        <v>105510</v>
      </c>
      <c r="P224">
        <v>38.06</v>
      </c>
      <c r="Q224">
        <v>4</v>
      </c>
      <c r="R224">
        <v>18504</v>
      </c>
      <c r="S224">
        <v>9.3000000000000007</v>
      </c>
      <c r="T224">
        <v>19</v>
      </c>
      <c r="U224">
        <v>4.13</v>
      </c>
      <c r="V224">
        <v>409668</v>
      </c>
      <c r="W224">
        <v>1993400</v>
      </c>
      <c r="X224">
        <v>4.87</v>
      </c>
      <c r="Y224" t="s">
        <v>39</v>
      </c>
    </row>
    <row r="225" spans="1:25" x14ac:dyDescent="0.3">
      <c r="A225" t="s">
        <v>482</v>
      </c>
      <c r="B225" t="s">
        <v>483</v>
      </c>
      <c r="C225" t="s">
        <v>32</v>
      </c>
      <c r="D225" s="1">
        <v>45043</v>
      </c>
      <c r="E225">
        <v>704</v>
      </c>
      <c r="F225" t="s">
        <v>28</v>
      </c>
      <c r="G225">
        <v>5261</v>
      </c>
      <c r="H225">
        <v>3757</v>
      </c>
      <c r="I225">
        <v>106</v>
      </c>
      <c r="J225">
        <v>153</v>
      </c>
      <c r="K225">
        <v>804933</v>
      </c>
      <c r="L225">
        <v>105554</v>
      </c>
      <c r="M225">
        <v>699379</v>
      </c>
      <c r="N225">
        <v>574821</v>
      </c>
      <c r="O225">
        <v>124558</v>
      </c>
      <c r="P225">
        <v>17.809999999999999</v>
      </c>
      <c r="Q225">
        <v>7</v>
      </c>
      <c r="R225">
        <v>33138</v>
      </c>
      <c r="S225">
        <v>6.6</v>
      </c>
      <c r="T225">
        <v>40</v>
      </c>
      <c r="U225">
        <v>3.75</v>
      </c>
      <c r="V225">
        <v>187587</v>
      </c>
      <c r="W225">
        <v>1868396</v>
      </c>
      <c r="X225">
        <v>9.9600000000000009</v>
      </c>
      <c r="Y225" t="s">
        <v>39</v>
      </c>
    </row>
    <row r="226" spans="1:25" x14ac:dyDescent="0.3">
      <c r="A226" t="s">
        <v>484</v>
      </c>
      <c r="B226" t="s">
        <v>485</v>
      </c>
      <c r="C226" t="s">
        <v>32</v>
      </c>
      <c r="D226" s="1">
        <v>45167</v>
      </c>
      <c r="E226">
        <v>580</v>
      </c>
      <c r="F226" t="s">
        <v>28</v>
      </c>
      <c r="G226">
        <v>17295</v>
      </c>
      <c r="H226">
        <v>13951</v>
      </c>
      <c r="I226">
        <v>39</v>
      </c>
      <c r="J226">
        <v>62</v>
      </c>
      <c r="K226">
        <v>1072290</v>
      </c>
      <c r="L226">
        <v>114641</v>
      </c>
      <c r="M226">
        <v>957649</v>
      </c>
      <c r="N226">
        <v>864962</v>
      </c>
      <c r="O226">
        <v>92687</v>
      </c>
      <c r="P226">
        <v>9.68</v>
      </c>
      <c r="Q226">
        <v>2</v>
      </c>
      <c r="R226">
        <v>31130</v>
      </c>
      <c r="S226">
        <v>5.13</v>
      </c>
      <c r="T226">
        <v>11</v>
      </c>
      <c r="U226">
        <v>3.09</v>
      </c>
      <c r="V226">
        <v>437254</v>
      </c>
      <c r="W226">
        <v>7345540</v>
      </c>
      <c r="X226">
        <v>16.8</v>
      </c>
      <c r="Y226" t="s">
        <v>39</v>
      </c>
    </row>
    <row r="227" spans="1:25" x14ac:dyDescent="0.3">
      <c r="A227" t="s">
        <v>486</v>
      </c>
      <c r="B227" t="s">
        <v>487</v>
      </c>
      <c r="C227" t="s">
        <v>32</v>
      </c>
      <c r="D227" s="1">
        <v>45527</v>
      </c>
      <c r="E227">
        <v>220</v>
      </c>
      <c r="F227" t="s">
        <v>28</v>
      </c>
      <c r="G227">
        <v>11516</v>
      </c>
      <c r="H227">
        <v>7533</v>
      </c>
      <c r="I227">
        <v>71</v>
      </c>
      <c r="J227">
        <v>108</v>
      </c>
      <c r="K227">
        <v>1243728</v>
      </c>
      <c r="L227">
        <v>156047</v>
      </c>
      <c r="M227">
        <v>1087681</v>
      </c>
      <c r="N227">
        <v>813564</v>
      </c>
      <c r="O227">
        <v>274117</v>
      </c>
      <c r="P227">
        <v>25.2</v>
      </c>
      <c r="Q227">
        <v>7</v>
      </c>
      <c r="R227">
        <v>72548</v>
      </c>
      <c r="S227">
        <v>9.86</v>
      </c>
      <c r="T227">
        <v>28</v>
      </c>
      <c r="U227">
        <v>4</v>
      </c>
      <c r="V227">
        <v>409894</v>
      </c>
      <c r="W227">
        <v>6300346</v>
      </c>
      <c r="X227">
        <v>15.37</v>
      </c>
      <c r="Y227" t="s">
        <v>39</v>
      </c>
    </row>
    <row r="228" spans="1:25" x14ac:dyDescent="0.3">
      <c r="A228" t="s">
        <v>488</v>
      </c>
      <c r="B228" t="s">
        <v>489</v>
      </c>
      <c r="C228" t="s">
        <v>32</v>
      </c>
      <c r="D228" s="1">
        <v>45120</v>
      </c>
      <c r="E228">
        <v>627</v>
      </c>
      <c r="F228" t="s">
        <v>28</v>
      </c>
      <c r="G228">
        <v>6599</v>
      </c>
      <c r="H228">
        <v>3096</v>
      </c>
      <c r="I228">
        <v>128</v>
      </c>
      <c r="J228">
        <v>188</v>
      </c>
      <c r="K228">
        <v>1240612</v>
      </c>
      <c r="L228">
        <v>189588</v>
      </c>
      <c r="M228">
        <v>1051024</v>
      </c>
      <c r="N228">
        <v>582048</v>
      </c>
      <c r="O228">
        <v>468976</v>
      </c>
      <c r="P228">
        <v>44.62</v>
      </c>
      <c r="Q228">
        <v>15</v>
      </c>
      <c r="R228">
        <v>89085</v>
      </c>
      <c r="S228">
        <v>11.72</v>
      </c>
      <c r="T228">
        <v>62</v>
      </c>
      <c r="U228">
        <v>4.4800000000000004</v>
      </c>
      <c r="V228">
        <v>642253</v>
      </c>
      <c r="W228">
        <v>3645216</v>
      </c>
      <c r="X228">
        <v>5.68</v>
      </c>
      <c r="Y228" t="s">
        <v>39</v>
      </c>
    </row>
    <row r="229" spans="1:25" x14ac:dyDescent="0.3">
      <c r="A229" t="s">
        <v>490</v>
      </c>
      <c r="B229" t="s">
        <v>491</v>
      </c>
      <c r="C229" t="s">
        <v>32</v>
      </c>
      <c r="D229" s="1">
        <v>45192</v>
      </c>
      <c r="E229">
        <v>555</v>
      </c>
      <c r="F229" t="s">
        <v>28</v>
      </c>
      <c r="G229">
        <v>16322</v>
      </c>
      <c r="H229">
        <v>12361</v>
      </c>
      <c r="I229">
        <v>72</v>
      </c>
      <c r="J229">
        <v>104</v>
      </c>
      <c r="K229">
        <v>1697488</v>
      </c>
      <c r="L229">
        <v>286036</v>
      </c>
      <c r="M229">
        <v>1411452</v>
      </c>
      <c r="N229">
        <v>1285544</v>
      </c>
      <c r="O229">
        <v>125908</v>
      </c>
      <c r="P229">
        <v>8.92</v>
      </c>
      <c r="Q229">
        <v>9</v>
      </c>
      <c r="R229">
        <v>132201</v>
      </c>
      <c r="S229">
        <v>12.5</v>
      </c>
      <c r="T229">
        <v>33</v>
      </c>
      <c r="U229">
        <v>3.35</v>
      </c>
      <c r="V229">
        <v>285384</v>
      </c>
      <c r="W229">
        <v>4466886</v>
      </c>
      <c r="X229">
        <v>15.65</v>
      </c>
      <c r="Y229" t="s">
        <v>39</v>
      </c>
    </row>
    <row r="230" spans="1:25" x14ac:dyDescent="0.3">
      <c r="A230" t="s">
        <v>492</v>
      </c>
      <c r="B230" t="s">
        <v>493</v>
      </c>
      <c r="C230" t="s">
        <v>32</v>
      </c>
      <c r="D230" s="1">
        <v>45239</v>
      </c>
      <c r="E230">
        <v>508</v>
      </c>
      <c r="F230" t="s">
        <v>28</v>
      </c>
      <c r="G230">
        <v>12740</v>
      </c>
      <c r="H230">
        <v>6330</v>
      </c>
      <c r="I230">
        <v>83</v>
      </c>
      <c r="J230">
        <v>131</v>
      </c>
      <c r="K230">
        <v>1668940</v>
      </c>
      <c r="L230">
        <v>196315</v>
      </c>
      <c r="M230">
        <v>1472625</v>
      </c>
      <c r="N230">
        <v>829230</v>
      </c>
      <c r="O230">
        <v>643395</v>
      </c>
      <c r="P230">
        <v>43.69</v>
      </c>
      <c r="Q230">
        <v>4</v>
      </c>
      <c r="R230">
        <v>45864</v>
      </c>
      <c r="S230">
        <v>4.82</v>
      </c>
      <c r="T230">
        <v>34</v>
      </c>
      <c r="U230">
        <v>4.46</v>
      </c>
      <c r="V230">
        <v>533130</v>
      </c>
      <c r="W230">
        <v>11781532</v>
      </c>
      <c r="X230">
        <v>22.1</v>
      </c>
      <c r="Y230" t="s">
        <v>29</v>
      </c>
    </row>
    <row r="231" spans="1:25" x14ac:dyDescent="0.3">
      <c r="A231" t="s">
        <v>494</v>
      </c>
      <c r="B231" t="s">
        <v>495</v>
      </c>
      <c r="C231" t="s">
        <v>32</v>
      </c>
      <c r="D231" s="1">
        <v>45506</v>
      </c>
      <c r="E231">
        <v>241</v>
      </c>
      <c r="F231" t="s">
        <v>28</v>
      </c>
      <c r="G231">
        <v>11648</v>
      </c>
      <c r="H231">
        <v>5639</v>
      </c>
      <c r="I231">
        <v>38</v>
      </c>
      <c r="J231">
        <v>54</v>
      </c>
      <c r="K231">
        <v>628992</v>
      </c>
      <c r="L231">
        <v>90320</v>
      </c>
      <c r="M231">
        <v>538672</v>
      </c>
      <c r="N231">
        <v>304506</v>
      </c>
      <c r="O231">
        <v>234166</v>
      </c>
      <c r="P231">
        <v>43.47</v>
      </c>
      <c r="Q231">
        <v>4</v>
      </c>
      <c r="R231">
        <v>41932</v>
      </c>
      <c r="S231">
        <v>10.53</v>
      </c>
      <c r="T231">
        <v>15</v>
      </c>
      <c r="U231">
        <v>4.4000000000000004</v>
      </c>
      <c r="V231">
        <v>688896</v>
      </c>
      <c r="W231">
        <v>11907080</v>
      </c>
      <c r="X231">
        <v>17.28</v>
      </c>
      <c r="Y231" t="s">
        <v>39</v>
      </c>
    </row>
    <row r="232" spans="1:25" x14ac:dyDescent="0.3">
      <c r="A232" t="s">
        <v>496</v>
      </c>
      <c r="B232" t="s">
        <v>497</v>
      </c>
      <c r="C232" t="s">
        <v>32</v>
      </c>
      <c r="D232" s="1">
        <v>45465</v>
      </c>
      <c r="E232">
        <v>282</v>
      </c>
      <c r="F232" t="s">
        <v>28</v>
      </c>
      <c r="G232">
        <v>9199</v>
      </c>
      <c r="H232">
        <v>7710</v>
      </c>
      <c r="I232">
        <v>118</v>
      </c>
      <c r="J232">
        <v>180</v>
      </c>
      <c r="K232">
        <v>1655820</v>
      </c>
      <c r="L232">
        <v>300865</v>
      </c>
      <c r="M232">
        <v>1354955</v>
      </c>
      <c r="N232">
        <v>1387800</v>
      </c>
      <c r="O232">
        <v>-32845</v>
      </c>
      <c r="P232">
        <v>-2.42</v>
      </c>
      <c r="Q232">
        <v>14</v>
      </c>
      <c r="R232">
        <v>115906</v>
      </c>
      <c r="S232">
        <v>11.86</v>
      </c>
      <c r="T232">
        <v>49</v>
      </c>
      <c r="U232">
        <v>3.03</v>
      </c>
      <c r="V232">
        <v>372393</v>
      </c>
      <c r="W232">
        <v>5515041</v>
      </c>
      <c r="X232">
        <v>14.81</v>
      </c>
      <c r="Y232" t="s">
        <v>39</v>
      </c>
    </row>
    <row r="233" spans="1:25" x14ac:dyDescent="0.3">
      <c r="A233" t="s">
        <v>498</v>
      </c>
      <c r="B233" t="s">
        <v>499</v>
      </c>
      <c r="C233" t="s">
        <v>32</v>
      </c>
      <c r="D233" s="1">
        <v>45569</v>
      </c>
      <c r="E233">
        <v>178</v>
      </c>
      <c r="F233" t="s">
        <v>28</v>
      </c>
      <c r="G233">
        <v>3582</v>
      </c>
      <c r="H233">
        <v>2557</v>
      </c>
      <c r="I233">
        <v>142</v>
      </c>
      <c r="J233">
        <v>197</v>
      </c>
      <c r="K233">
        <v>705654</v>
      </c>
      <c r="L233">
        <v>134501</v>
      </c>
      <c r="M233">
        <v>571153</v>
      </c>
      <c r="N233">
        <v>503729</v>
      </c>
      <c r="O233">
        <v>67424</v>
      </c>
      <c r="P233">
        <v>11.8</v>
      </c>
      <c r="Q233">
        <v>2</v>
      </c>
      <c r="R233">
        <v>6446</v>
      </c>
      <c r="S233">
        <v>1.41</v>
      </c>
      <c r="T233">
        <v>58</v>
      </c>
      <c r="U233">
        <v>3.72</v>
      </c>
      <c r="V233">
        <v>146393</v>
      </c>
      <c r="W233">
        <v>642553</v>
      </c>
      <c r="X233">
        <v>4.3899999999999997</v>
      </c>
      <c r="Y233" t="s">
        <v>39</v>
      </c>
    </row>
    <row r="234" spans="1:25" x14ac:dyDescent="0.3">
      <c r="A234" t="s">
        <v>500</v>
      </c>
      <c r="B234" t="s">
        <v>501</v>
      </c>
      <c r="C234" t="s">
        <v>32</v>
      </c>
      <c r="D234" s="1">
        <v>45322</v>
      </c>
      <c r="E234">
        <v>425</v>
      </c>
      <c r="F234" t="s">
        <v>28</v>
      </c>
      <c r="G234">
        <v>13632</v>
      </c>
      <c r="H234">
        <v>8263</v>
      </c>
      <c r="I234">
        <v>78</v>
      </c>
      <c r="J234">
        <v>120</v>
      </c>
      <c r="K234">
        <v>1635840</v>
      </c>
      <c r="L234">
        <v>282963</v>
      </c>
      <c r="M234">
        <v>1352877</v>
      </c>
      <c r="N234">
        <v>991560</v>
      </c>
      <c r="O234">
        <v>361317</v>
      </c>
      <c r="P234">
        <v>26.71</v>
      </c>
      <c r="Q234">
        <v>1</v>
      </c>
      <c r="R234">
        <v>12268</v>
      </c>
      <c r="S234">
        <v>1.28</v>
      </c>
      <c r="T234">
        <v>36</v>
      </c>
      <c r="U234">
        <v>4.1500000000000004</v>
      </c>
      <c r="V234">
        <v>255163</v>
      </c>
      <c r="W234">
        <v>4476584</v>
      </c>
      <c r="X234">
        <v>17.54</v>
      </c>
      <c r="Y234" t="s">
        <v>29</v>
      </c>
    </row>
    <row r="235" spans="1:25" x14ac:dyDescent="0.3">
      <c r="A235" t="s">
        <v>502</v>
      </c>
      <c r="B235" t="s">
        <v>503</v>
      </c>
      <c r="C235" t="s">
        <v>32</v>
      </c>
      <c r="D235" s="1">
        <v>45072</v>
      </c>
      <c r="E235">
        <v>675</v>
      </c>
      <c r="F235" t="s">
        <v>28</v>
      </c>
      <c r="G235">
        <v>3230</v>
      </c>
      <c r="H235">
        <v>1958</v>
      </c>
      <c r="I235">
        <v>70</v>
      </c>
      <c r="J235">
        <v>99</v>
      </c>
      <c r="K235">
        <v>319770</v>
      </c>
      <c r="L235">
        <v>63988</v>
      </c>
      <c r="M235">
        <v>255782</v>
      </c>
      <c r="N235">
        <v>193842</v>
      </c>
      <c r="O235">
        <v>61940</v>
      </c>
      <c r="P235">
        <v>24.22</v>
      </c>
      <c r="Q235">
        <v>3</v>
      </c>
      <c r="R235">
        <v>8721</v>
      </c>
      <c r="S235">
        <v>4.29</v>
      </c>
      <c r="T235">
        <v>19</v>
      </c>
      <c r="U235">
        <v>4.05</v>
      </c>
      <c r="V235">
        <v>435039</v>
      </c>
      <c r="W235">
        <v>2073599</v>
      </c>
      <c r="X235">
        <v>4.7699999999999996</v>
      </c>
      <c r="Y235" t="s">
        <v>29</v>
      </c>
    </row>
    <row r="236" spans="1:25" x14ac:dyDescent="0.3">
      <c r="A236" t="s">
        <v>504</v>
      </c>
      <c r="B236" t="s">
        <v>505</v>
      </c>
      <c r="C236" t="s">
        <v>32</v>
      </c>
      <c r="D236" s="1">
        <v>45241</v>
      </c>
      <c r="E236">
        <v>506</v>
      </c>
      <c r="F236" t="s">
        <v>28</v>
      </c>
      <c r="G236">
        <v>1489</v>
      </c>
      <c r="H236">
        <v>671</v>
      </c>
      <c r="I236">
        <v>151</v>
      </c>
      <c r="J236">
        <v>238</v>
      </c>
      <c r="K236">
        <v>354382</v>
      </c>
      <c r="L236">
        <v>48132</v>
      </c>
      <c r="M236">
        <v>306250</v>
      </c>
      <c r="N236">
        <v>159698</v>
      </c>
      <c r="O236">
        <v>146552</v>
      </c>
      <c r="P236">
        <v>47.85</v>
      </c>
      <c r="Q236">
        <v>4</v>
      </c>
      <c r="R236">
        <v>5360</v>
      </c>
      <c r="S236">
        <v>2.65</v>
      </c>
      <c r="T236">
        <v>65</v>
      </c>
      <c r="U236">
        <v>4.41</v>
      </c>
      <c r="V236">
        <v>203859</v>
      </c>
      <c r="W236">
        <v>216829</v>
      </c>
      <c r="X236">
        <v>1.06</v>
      </c>
      <c r="Y236" t="s">
        <v>29</v>
      </c>
    </row>
    <row r="237" spans="1:25" x14ac:dyDescent="0.3">
      <c r="A237" t="s">
        <v>506</v>
      </c>
      <c r="B237" t="s">
        <v>507</v>
      </c>
      <c r="C237" t="s">
        <v>32</v>
      </c>
      <c r="D237" s="1">
        <v>44944</v>
      </c>
      <c r="E237">
        <v>803</v>
      </c>
      <c r="F237" t="s">
        <v>28</v>
      </c>
      <c r="G237">
        <v>10076</v>
      </c>
      <c r="H237">
        <v>6493</v>
      </c>
      <c r="I237">
        <v>52</v>
      </c>
      <c r="J237">
        <v>78</v>
      </c>
      <c r="K237">
        <v>785928</v>
      </c>
      <c r="L237">
        <v>104906</v>
      </c>
      <c r="M237">
        <v>681022</v>
      </c>
      <c r="N237">
        <v>506454</v>
      </c>
      <c r="O237">
        <v>174568</v>
      </c>
      <c r="P237">
        <v>25.63</v>
      </c>
      <c r="Q237">
        <v>4</v>
      </c>
      <c r="R237">
        <v>36272</v>
      </c>
      <c r="S237">
        <v>7.69</v>
      </c>
      <c r="T237">
        <v>22</v>
      </c>
      <c r="U237">
        <v>3.89</v>
      </c>
      <c r="V237">
        <v>529316</v>
      </c>
      <c r="W237">
        <v>7013245</v>
      </c>
      <c r="X237">
        <v>13.25</v>
      </c>
      <c r="Y237" t="s">
        <v>39</v>
      </c>
    </row>
    <row r="238" spans="1:25" x14ac:dyDescent="0.3">
      <c r="A238" t="s">
        <v>508</v>
      </c>
      <c r="B238" t="s">
        <v>509</v>
      </c>
      <c r="C238" t="s">
        <v>32</v>
      </c>
      <c r="D238" s="1">
        <v>45314</v>
      </c>
      <c r="E238">
        <v>433</v>
      </c>
      <c r="F238" t="s">
        <v>28</v>
      </c>
      <c r="G238">
        <v>4696</v>
      </c>
      <c r="H238">
        <v>2427</v>
      </c>
      <c r="I238">
        <v>75</v>
      </c>
      <c r="J238">
        <v>120</v>
      </c>
      <c r="K238">
        <v>563520</v>
      </c>
      <c r="L238">
        <v>103267</v>
      </c>
      <c r="M238">
        <v>460253</v>
      </c>
      <c r="N238">
        <v>291240</v>
      </c>
      <c r="O238">
        <v>169013</v>
      </c>
      <c r="P238">
        <v>36.72</v>
      </c>
      <c r="Q238">
        <v>8</v>
      </c>
      <c r="R238">
        <v>33808</v>
      </c>
      <c r="S238">
        <v>10.67</v>
      </c>
      <c r="T238">
        <v>30</v>
      </c>
      <c r="U238">
        <v>4.4800000000000004</v>
      </c>
      <c r="V238">
        <v>524449</v>
      </c>
      <c r="W238">
        <v>2691370</v>
      </c>
      <c r="X238">
        <v>5.13</v>
      </c>
      <c r="Y238" t="s">
        <v>39</v>
      </c>
    </row>
    <row r="239" spans="1:25" x14ac:dyDescent="0.3">
      <c r="A239" t="s">
        <v>510</v>
      </c>
      <c r="B239" t="s">
        <v>511</v>
      </c>
      <c r="C239" t="s">
        <v>32</v>
      </c>
      <c r="D239" s="1">
        <v>45180</v>
      </c>
      <c r="E239">
        <v>567</v>
      </c>
      <c r="F239" t="s">
        <v>28</v>
      </c>
      <c r="G239">
        <v>6400</v>
      </c>
      <c r="H239">
        <v>5719</v>
      </c>
      <c r="I239">
        <v>50</v>
      </c>
      <c r="J239">
        <v>73</v>
      </c>
      <c r="K239">
        <v>467200</v>
      </c>
      <c r="L239">
        <v>52171</v>
      </c>
      <c r="M239">
        <v>415029</v>
      </c>
      <c r="N239">
        <v>417487</v>
      </c>
      <c r="O239">
        <v>-2458</v>
      </c>
      <c r="P239">
        <v>-0.59</v>
      </c>
      <c r="Q239">
        <v>4</v>
      </c>
      <c r="R239">
        <v>23040</v>
      </c>
      <c r="S239">
        <v>8</v>
      </c>
      <c r="T239">
        <v>28</v>
      </c>
      <c r="U239">
        <v>3.11</v>
      </c>
      <c r="V239">
        <v>324920</v>
      </c>
      <c r="W239">
        <v>3025322</v>
      </c>
      <c r="X239">
        <v>9.31</v>
      </c>
      <c r="Y239" t="s">
        <v>39</v>
      </c>
    </row>
    <row r="240" spans="1:25" x14ac:dyDescent="0.3">
      <c r="A240" t="s">
        <v>512</v>
      </c>
      <c r="B240" t="s">
        <v>513</v>
      </c>
      <c r="C240" t="s">
        <v>32</v>
      </c>
      <c r="D240" s="1">
        <v>44923</v>
      </c>
      <c r="E240">
        <v>824</v>
      </c>
      <c r="F240" t="s">
        <v>28</v>
      </c>
      <c r="G240">
        <v>14313</v>
      </c>
      <c r="H240">
        <v>9562</v>
      </c>
      <c r="I240">
        <v>94</v>
      </c>
      <c r="J240">
        <v>142</v>
      </c>
      <c r="K240">
        <v>2032446</v>
      </c>
      <c r="L240">
        <v>255908</v>
      </c>
      <c r="M240">
        <v>1776538</v>
      </c>
      <c r="N240">
        <v>1357804</v>
      </c>
      <c r="O240">
        <v>418734</v>
      </c>
      <c r="P240">
        <v>23.57</v>
      </c>
      <c r="Q240">
        <v>11</v>
      </c>
      <c r="R240">
        <v>141691</v>
      </c>
      <c r="S240">
        <v>11.7</v>
      </c>
      <c r="T240">
        <v>41</v>
      </c>
      <c r="U240">
        <v>3.78</v>
      </c>
      <c r="V240">
        <v>338705</v>
      </c>
      <c r="W240">
        <v>5622623</v>
      </c>
      <c r="X240">
        <v>16.600000000000001</v>
      </c>
      <c r="Y240" t="s">
        <v>39</v>
      </c>
    </row>
    <row r="241" spans="1:25" x14ac:dyDescent="0.3">
      <c r="A241" t="s">
        <v>514</v>
      </c>
      <c r="B241" t="s">
        <v>515</v>
      </c>
      <c r="C241" t="s">
        <v>32</v>
      </c>
      <c r="D241" s="1">
        <v>45076</v>
      </c>
      <c r="E241">
        <v>671</v>
      </c>
      <c r="F241" t="s">
        <v>28</v>
      </c>
      <c r="G241">
        <v>522</v>
      </c>
      <c r="H241">
        <v>408</v>
      </c>
      <c r="I241">
        <v>409</v>
      </c>
      <c r="J241">
        <v>625</v>
      </c>
      <c r="K241">
        <v>326250</v>
      </c>
      <c r="L241">
        <v>53263</v>
      </c>
      <c r="M241">
        <v>272987</v>
      </c>
      <c r="N241">
        <v>255000</v>
      </c>
      <c r="O241">
        <v>17987</v>
      </c>
      <c r="P241">
        <v>6.59</v>
      </c>
      <c r="Q241">
        <v>35</v>
      </c>
      <c r="R241">
        <v>16415</v>
      </c>
      <c r="S241">
        <v>8.56</v>
      </c>
      <c r="T241">
        <v>162</v>
      </c>
      <c r="U241">
        <v>3.31</v>
      </c>
      <c r="V241">
        <v>565118</v>
      </c>
      <c r="W241">
        <v>322993</v>
      </c>
      <c r="X241">
        <v>0.56999999999999995</v>
      </c>
      <c r="Y241" t="s">
        <v>39</v>
      </c>
    </row>
    <row r="242" spans="1:25" x14ac:dyDescent="0.3">
      <c r="A242" t="s">
        <v>516</v>
      </c>
      <c r="B242" t="s">
        <v>517</v>
      </c>
      <c r="C242" t="s">
        <v>32</v>
      </c>
      <c r="D242" s="1">
        <v>45544</v>
      </c>
      <c r="E242">
        <v>203</v>
      </c>
      <c r="F242" t="s">
        <v>28</v>
      </c>
      <c r="G242">
        <v>8869</v>
      </c>
      <c r="H242">
        <v>5373</v>
      </c>
      <c r="I242">
        <v>50</v>
      </c>
      <c r="J242">
        <v>80</v>
      </c>
      <c r="K242">
        <v>709520</v>
      </c>
      <c r="L242">
        <v>125065</v>
      </c>
      <c r="M242">
        <v>584455</v>
      </c>
      <c r="N242">
        <v>429840</v>
      </c>
      <c r="O242">
        <v>154615</v>
      </c>
      <c r="P242">
        <v>26.45</v>
      </c>
      <c r="Q242">
        <v>3</v>
      </c>
      <c r="R242">
        <v>23946</v>
      </c>
      <c r="S242">
        <v>6</v>
      </c>
      <c r="T242">
        <v>23</v>
      </c>
      <c r="U242">
        <v>4.04</v>
      </c>
      <c r="V242">
        <v>682014</v>
      </c>
      <c r="W242">
        <v>6562916</v>
      </c>
      <c r="X242">
        <v>9.6199999999999992</v>
      </c>
      <c r="Y242" t="s">
        <v>39</v>
      </c>
    </row>
    <row r="243" spans="1:25" x14ac:dyDescent="0.3">
      <c r="A243" t="s">
        <v>518</v>
      </c>
      <c r="B243" t="s">
        <v>519</v>
      </c>
      <c r="C243" t="s">
        <v>32</v>
      </c>
      <c r="D243" s="1">
        <v>45489</v>
      </c>
      <c r="E243">
        <v>258</v>
      </c>
      <c r="F243" t="s">
        <v>28</v>
      </c>
      <c r="G243">
        <v>10489</v>
      </c>
      <c r="H243">
        <v>6181</v>
      </c>
      <c r="I243">
        <v>87</v>
      </c>
      <c r="J243">
        <v>130</v>
      </c>
      <c r="K243">
        <v>1363570</v>
      </c>
      <c r="L243">
        <v>232591</v>
      </c>
      <c r="M243">
        <v>1130979</v>
      </c>
      <c r="N243">
        <v>803530</v>
      </c>
      <c r="O243">
        <v>327449</v>
      </c>
      <c r="P243">
        <v>28.95</v>
      </c>
      <c r="Q243">
        <v>7</v>
      </c>
      <c r="R243">
        <v>66080</v>
      </c>
      <c r="S243">
        <v>8.0500000000000007</v>
      </c>
      <c r="T243">
        <v>29</v>
      </c>
      <c r="U243">
        <v>4.22</v>
      </c>
      <c r="V243">
        <v>108240</v>
      </c>
      <c r="W243">
        <v>1972625</v>
      </c>
      <c r="X243">
        <v>18.22</v>
      </c>
      <c r="Y243" t="s">
        <v>39</v>
      </c>
    </row>
    <row r="244" spans="1:25" x14ac:dyDescent="0.3">
      <c r="A244" t="s">
        <v>520</v>
      </c>
      <c r="B244" t="s">
        <v>521</v>
      </c>
      <c r="C244" t="s">
        <v>32</v>
      </c>
      <c r="D244" s="1">
        <v>45455</v>
      </c>
      <c r="E244">
        <v>292</v>
      </c>
      <c r="F244" t="s">
        <v>28</v>
      </c>
      <c r="G244">
        <v>5318</v>
      </c>
      <c r="H244">
        <v>3697</v>
      </c>
      <c r="I244">
        <v>106</v>
      </c>
      <c r="J244">
        <v>149</v>
      </c>
      <c r="K244">
        <v>792382</v>
      </c>
      <c r="L244">
        <v>137049</v>
      </c>
      <c r="M244">
        <v>655333</v>
      </c>
      <c r="N244">
        <v>550853</v>
      </c>
      <c r="O244">
        <v>104480</v>
      </c>
      <c r="P244">
        <v>15.94</v>
      </c>
      <c r="Q244">
        <v>6</v>
      </c>
      <c r="R244">
        <v>28716</v>
      </c>
      <c r="S244">
        <v>5.66</v>
      </c>
      <c r="T244">
        <v>40</v>
      </c>
      <c r="U244">
        <v>3.48</v>
      </c>
      <c r="V244">
        <v>396660</v>
      </c>
      <c r="W244">
        <v>2216034</v>
      </c>
      <c r="X244">
        <v>5.59</v>
      </c>
      <c r="Y244" t="s">
        <v>39</v>
      </c>
    </row>
    <row r="245" spans="1:25" x14ac:dyDescent="0.3">
      <c r="A245" t="s">
        <v>522</v>
      </c>
      <c r="B245" t="s">
        <v>523</v>
      </c>
      <c r="C245" t="s">
        <v>32</v>
      </c>
      <c r="D245" s="1">
        <v>45445</v>
      </c>
      <c r="E245">
        <v>302</v>
      </c>
      <c r="F245" t="s">
        <v>28</v>
      </c>
      <c r="G245">
        <v>8407</v>
      </c>
      <c r="H245">
        <v>4992</v>
      </c>
      <c r="I245">
        <v>80</v>
      </c>
      <c r="J245">
        <v>121</v>
      </c>
      <c r="K245">
        <v>1017247</v>
      </c>
      <c r="L245">
        <v>129426</v>
      </c>
      <c r="M245">
        <v>887821</v>
      </c>
      <c r="N245">
        <v>604032</v>
      </c>
      <c r="O245">
        <v>283789</v>
      </c>
      <c r="P245">
        <v>31.96</v>
      </c>
      <c r="Q245">
        <v>3</v>
      </c>
      <c r="R245">
        <v>22698</v>
      </c>
      <c r="S245">
        <v>3.75</v>
      </c>
      <c r="T245">
        <v>35</v>
      </c>
      <c r="U245">
        <v>4.04</v>
      </c>
      <c r="V245">
        <v>164508</v>
      </c>
      <c r="W245">
        <v>1282042</v>
      </c>
      <c r="X245">
        <v>7.79</v>
      </c>
      <c r="Y245" t="s">
        <v>29</v>
      </c>
    </row>
    <row r="246" spans="1:25" x14ac:dyDescent="0.3">
      <c r="A246" t="s">
        <v>524</v>
      </c>
      <c r="B246" t="s">
        <v>525</v>
      </c>
      <c r="C246" t="s">
        <v>32</v>
      </c>
      <c r="D246" s="1">
        <v>45395</v>
      </c>
      <c r="E246">
        <v>352</v>
      </c>
      <c r="F246" t="s">
        <v>28</v>
      </c>
      <c r="G246">
        <v>3975</v>
      </c>
      <c r="H246">
        <v>3467</v>
      </c>
      <c r="I246">
        <v>144</v>
      </c>
      <c r="J246">
        <v>219</v>
      </c>
      <c r="K246">
        <v>870525</v>
      </c>
      <c r="L246">
        <v>106459</v>
      </c>
      <c r="M246">
        <v>764066</v>
      </c>
      <c r="N246">
        <v>759273</v>
      </c>
      <c r="O246">
        <v>4793</v>
      </c>
      <c r="P246">
        <v>0.63</v>
      </c>
      <c r="Q246">
        <v>5</v>
      </c>
      <c r="R246">
        <v>17885</v>
      </c>
      <c r="S246">
        <v>3.47</v>
      </c>
      <c r="T246">
        <v>65</v>
      </c>
      <c r="U246">
        <v>3.12</v>
      </c>
      <c r="V246">
        <v>389069</v>
      </c>
      <c r="W246">
        <v>2641608</v>
      </c>
      <c r="X246">
        <v>6.79</v>
      </c>
      <c r="Y246" t="s">
        <v>39</v>
      </c>
    </row>
    <row r="247" spans="1:25" x14ac:dyDescent="0.3">
      <c r="A247" t="s">
        <v>526</v>
      </c>
      <c r="B247" t="s">
        <v>527</v>
      </c>
      <c r="C247" t="s">
        <v>32</v>
      </c>
      <c r="D247" s="1">
        <v>45045</v>
      </c>
      <c r="E247">
        <v>702</v>
      </c>
      <c r="F247" t="s">
        <v>28</v>
      </c>
      <c r="G247">
        <v>14777</v>
      </c>
      <c r="H247">
        <v>12526</v>
      </c>
      <c r="I247">
        <v>44</v>
      </c>
      <c r="J247">
        <v>66</v>
      </c>
      <c r="K247">
        <v>975282</v>
      </c>
      <c r="L247">
        <v>114525</v>
      </c>
      <c r="M247">
        <v>860757</v>
      </c>
      <c r="N247">
        <v>826716</v>
      </c>
      <c r="O247">
        <v>34041</v>
      </c>
      <c r="P247">
        <v>3.95</v>
      </c>
      <c r="Q247">
        <v>3</v>
      </c>
      <c r="R247">
        <v>39897</v>
      </c>
      <c r="S247">
        <v>6.82</v>
      </c>
      <c r="T247">
        <v>18</v>
      </c>
      <c r="U247">
        <v>2.78</v>
      </c>
      <c r="V247">
        <v>688270</v>
      </c>
      <c r="W247">
        <v>11363905</v>
      </c>
      <c r="X247">
        <v>16.510000000000002</v>
      </c>
      <c r="Y247" t="s">
        <v>39</v>
      </c>
    </row>
    <row r="248" spans="1:25" x14ac:dyDescent="0.3">
      <c r="A248" t="s">
        <v>528</v>
      </c>
      <c r="B248" t="s">
        <v>529</v>
      </c>
      <c r="C248" t="s">
        <v>32</v>
      </c>
      <c r="D248" s="1">
        <v>45302</v>
      </c>
      <c r="E248">
        <v>445</v>
      </c>
      <c r="F248" t="s">
        <v>28</v>
      </c>
      <c r="G248">
        <v>4622</v>
      </c>
      <c r="H248">
        <v>3092</v>
      </c>
      <c r="I248">
        <v>137</v>
      </c>
      <c r="J248">
        <v>205</v>
      </c>
      <c r="K248">
        <v>947510</v>
      </c>
      <c r="L248">
        <v>124025</v>
      </c>
      <c r="M248">
        <v>823485</v>
      </c>
      <c r="N248">
        <v>633860</v>
      </c>
      <c r="O248">
        <v>189625</v>
      </c>
      <c r="P248">
        <v>23.03</v>
      </c>
      <c r="Q248">
        <v>9</v>
      </c>
      <c r="R248">
        <v>37431</v>
      </c>
      <c r="S248">
        <v>6.57</v>
      </c>
      <c r="T248">
        <v>56</v>
      </c>
      <c r="U248">
        <v>3.73</v>
      </c>
      <c r="V248">
        <v>187450</v>
      </c>
      <c r="W248">
        <v>568836</v>
      </c>
      <c r="X248">
        <v>3.03</v>
      </c>
      <c r="Y248" t="s">
        <v>39</v>
      </c>
    </row>
    <row r="249" spans="1:25" x14ac:dyDescent="0.3">
      <c r="A249" t="s">
        <v>530</v>
      </c>
      <c r="B249" t="s">
        <v>531</v>
      </c>
      <c r="C249" t="s">
        <v>32</v>
      </c>
      <c r="D249" s="1">
        <v>45598</v>
      </c>
      <c r="E249">
        <v>149</v>
      </c>
      <c r="F249" t="s">
        <v>28</v>
      </c>
      <c r="G249">
        <v>8637</v>
      </c>
      <c r="H249">
        <v>4600</v>
      </c>
      <c r="I249">
        <v>41</v>
      </c>
      <c r="J249">
        <v>61</v>
      </c>
      <c r="K249">
        <v>526857</v>
      </c>
      <c r="L249">
        <v>91106</v>
      </c>
      <c r="M249">
        <v>435751</v>
      </c>
      <c r="N249">
        <v>280600</v>
      </c>
      <c r="O249">
        <v>155151</v>
      </c>
      <c r="P249">
        <v>35.61</v>
      </c>
      <c r="Q249">
        <v>2</v>
      </c>
      <c r="R249">
        <v>15546</v>
      </c>
      <c r="S249">
        <v>4.88</v>
      </c>
      <c r="T249">
        <v>18</v>
      </c>
      <c r="U249">
        <v>4.42</v>
      </c>
      <c r="V249">
        <v>31786</v>
      </c>
      <c r="W249">
        <v>1130439</v>
      </c>
      <c r="X249">
        <v>35.56</v>
      </c>
      <c r="Y249" t="s">
        <v>29</v>
      </c>
    </row>
    <row r="250" spans="1:25" x14ac:dyDescent="0.3">
      <c r="A250" t="s">
        <v>532</v>
      </c>
      <c r="B250" t="s">
        <v>533</v>
      </c>
      <c r="C250" t="s">
        <v>32</v>
      </c>
      <c r="D250" s="1">
        <v>45318</v>
      </c>
      <c r="E250">
        <v>429</v>
      </c>
      <c r="F250" t="s">
        <v>28</v>
      </c>
      <c r="G250">
        <v>2560</v>
      </c>
      <c r="H250">
        <v>1167</v>
      </c>
      <c r="I250">
        <v>220</v>
      </c>
      <c r="J250">
        <v>328</v>
      </c>
      <c r="K250">
        <v>839680</v>
      </c>
      <c r="L250">
        <v>114693</v>
      </c>
      <c r="M250">
        <v>724987</v>
      </c>
      <c r="N250">
        <v>382776</v>
      </c>
      <c r="O250">
        <v>342211</v>
      </c>
      <c r="P250">
        <v>47.2</v>
      </c>
      <c r="Q250">
        <v>7</v>
      </c>
      <c r="R250">
        <v>16128</v>
      </c>
      <c r="S250">
        <v>3.18</v>
      </c>
      <c r="T250">
        <v>90</v>
      </c>
      <c r="U250">
        <v>4.46</v>
      </c>
      <c r="V250">
        <v>415826</v>
      </c>
      <c r="W250">
        <v>890602</v>
      </c>
      <c r="X250">
        <v>2.14</v>
      </c>
      <c r="Y250" t="s">
        <v>29</v>
      </c>
    </row>
    <row r="251" spans="1:25" x14ac:dyDescent="0.3">
      <c r="A251" t="s">
        <v>534</v>
      </c>
      <c r="B251" t="s">
        <v>535</v>
      </c>
      <c r="C251" t="s">
        <v>32</v>
      </c>
      <c r="D251" s="1">
        <v>45226</v>
      </c>
      <c r="E251">
        <v>521</v>
      </c>
      <c r="F251" t="s">
        <v>28</v>
      </c>
      <c r="G251">
        <v>12569</v>
      </c>
      <c r="H251">
        <v>5696</v>
      </c>
      <c r="I251">
        <v>89</v>
      </c>
      <c r="J251">
        <v>136</v>
      </c>
      <c r="K251">
        <v>1709384</v>
      </c>
      <c r="L251">
        <v>283333</v>
      </c>
      <c r="M251">
        <v>1426051</v>
      </c>
      <c r="N251">
        <v>774656</v>
      </c>
      <c r="O251">
        <v>651395</v>
      </c>
      <c r="P251">
        <v>45.68</v>
      </c>
      <c r="Q251">
        <v>12</v>
      </c>
      <c r="R251">
        <v>135744</v>
      </c>
      <c r="S251">
        <v>13.48</v>
      </c>
      <c r="T251">
        <v>27</v>
      </c>
      <c r="U251">
        <v>4.74</v>
      </c>
      <c r="V251">
        <v>266081</v>
      </c>
      <c r="W251">
        <v>4897662</v>
      </c>
      <c r="X251">
        <v>18.41</v>
      </c>
      <c r="Y251" t="s">
        <v>39</v>
      </c>
    </row>
    <row r="252" spans="1:25" x14ac:dyDescent="0.3">
      <c r="A252" t="s">
        <v>536</v>
      </c>
      <c r="B252" t="s">
        <v>537</v>
      </c>
      <c r="C252" t="s">
        <v>32</v>
      </c>
      <c r="D252" s="1">
        <v>45191</v>
      </c>
      <c r="E252">
        <v>556</v>
      </c>
      <c r="F252" t="s">
        <v>28</v>
      </c>
      <c r="G252">
        <v>4656</v>
      </c>
      <c r="H252">
        <v>2821</v>
      </c>
      <c r="I252">
        <v>92</v>
      </c>
      <c r="J252">
        <v>138</v>
      </c>
      <c r="K252">
        <v>642528</v>
      </c>
      <c r="L252">
        <v>77078</v>
      </c>
      <c r="M252">
        <v>565450</v>
      </c>
      <c r="N252">
        <v>389298</v>
      </c>
      <c r="O252">
        <v>176152</v>
      </c>
      <c r="P252">
        <v>31.15</v>
      </c>
      <c r="Q252">
        <v>4</v>
      </c>
      <c r="R252">
        <v>16760</v>
      </c>
      <c r="S252">
        <v>4.3499999999999996</v>
      </c>
      <c r="T252">
        <v>39</v>
      </c>
      <c r="U252">
        <v>3.78</v>
      </c>
      <c r="V252">
        <v>535989</v>
      </c>
      <c r="W252">
        <v>2795300</v>
      </c>
      <c r="X252">
        <v>5.22</v>
      </c>
      <c r="Y252" t="s">
        <v>39</v>
      </c>
    </row>
    <row r="253" spans="1:25" x14ac:dyDescent="0.3">
      <c r="A253" t="s">
        <v>538</v>
      </c>
      <c r="B253" t="s">
        <v>539</v>
      </c>
      <c r="C253" t="s">
        <v>42</v>
      </c>
      <c r="D253" s="1">
        <v>45140</v>
      </c>
      <c r="E253">
        <v>607</v>
      </c>
      <c r="F253" t="s">
        <v>28</v>
      </c>
      <c r="G253">
        <v>412</v>
      </c>
      <c r="H253">
        <v>230</v>
      </c>
      <c r="I253">
        <v>429</v>
      </c>
      <c r="J253">
        <v>638</v>
      </c>
      <c r="K253">
        <v>262856</v>
      </c>
      <c r="L253">
        <v>35379</v>
      </c>
      <c r="M253">
        <v>227477</v>
      </c>
      <c r="N253">
        <v>146740</v>
      </c>
      <c r="O253">
        <v>80737</v>
      </c>
      <c r="P253">
        <v>35.49</v>
      </c>
      <c r="Q253">
        <v>30</v>
      </c>
      <c r="R253">
        <v>11100</v>
      </c>
      <c r="S253">
        <v>6.99</v>
      </c>
      <c r="T253">
        <v>173</v>
      </c>
      <c r="U253">
        <v>4.22</v>
      </c>
      <c r="V253">
        <v>250847</v>
      </c>
      <c r="W253">
        <v>90986</v>
      </c>
      <c r="X253">
        <v>0.36</v>
      </c>
      <c r="Y253" t="s">
        <v>39</v>
      </c>
    </row>
    <row r="254" spans="1:25" x14ac:dyDescent="0.3">
      <c r="A254" t="s">
        <v>540</v>
      </c>
      <c r="B254" t="s">
        <v>541</v>
      </c>
      <c r="C254" t="s">
        <v>42</v>
      </c>
      <c r="D254" s="1">
        <v>45117</v>
      </c>
      <c r="E254">
        <v>630</v>
      </c>
      <c r="F254" t="s">
        <v>28</v>
      </c>
      <c r="G254">
        <v>15392</v>
      </c>
      <c r="H254">
        <v>11455</v>
      </c>
      <c r="I254">
        <v>63</v>
      </c>
      <c r="J254">
        <v>96</v>
      </c>
      <c r="K254">
        <v>1477632</v>
      </c>
      <c r="L254">
        <v>139089</v>
      </c>
      <c r="M254">
        <v>1338543</v>
      </c>
      <c r="N254">
        <v>1099680</v>
      </c>
      <c r="O254">
        <v>238863</v>
      </c>
      <c r="P254">
        <v>17.850000000000001</v>
      </c>
      <c r="Q254">
        <v>1</v>
      </c>
      <c r="R254">
        <v>13852</v>
      </c>
      <c r="S254">
        <v>1.59</v>
      </c>
      <c r="T254">
        <v>27</v>
      </c>
      <c r="U254">
        <v>3.52</v>
      </c>
      <c r="V254">
        <v>261454</v>
      </c>
      <c r="W254">
        <v>2105593</v>
      </c>
      <c r="X254">
        <v>8.0500000000000007</v>
      </c>
      <c r="Y254" t="s">
        <v>39</v>
      </c>
    </row>
    <row r="255" spans="1:25" x14ac:dyDescent="0.3">
      <c r="A255" t="s">
        <v>542</v>
      </c>
      <c r="B255" t="s">
        <v>543</v>
      </c>
      <c r="C255" t="s">
        <v>42</v>
      </c>
      <c r="D255" s="1">
        <v>44903</v>
      </c>
      <c r="E255">
        <v>844</v>
      </c>
      <c r="F255" t="s">
        <v>28</v>
      </c>
      <c r="G255">
        <v>811</v>
      </c>
      <c r="H255">
        <v>642</v>
      </c>
      <c r="I255">
        <v>132</v>
      </c>
      <c r="J255">
        <v>192</v>
      </c>
      <c r="K255">
        <v>155712</v>
      </c>
      <c r="L255">
        <v>14674</v>
      </c>
      <c r="M255">
        <v>141038</v>
      </c>
      <c r="N255">
        <v>123264</v>
      </c>
      <c r="O255">
        <v>17774</v>
      </c>
      <c r="P255">
        <v>12.6</v>
      </c>
      <c r="Q255">
        <v>16</v>
      </c>
      <c r="R255">
        <v>11664</v>
      </c>
      <c r="S255">
        <v>12.12</v>
      </c>
      <c r="T255">
        <v>64</v>
      </c>
      <c r="U255">
        <v>3.27</v>
      </c>
      <c r="V255">
        <v>209479</v>
      </c>
      <c r="W255">
        <v>261712</v>
      </c>
      <c r="X255">
        <v>1.25</v>
      </c>
      <c r="Y255" t="s">
        <v>39</v>
      </c>
    </row>
    <row r="256" spans="1:25" x14ac:dyDescent="0.3">
      <c r="A256" t="s">
        <v>544</v>
      </c>
      <c r="B256" t="s">
        <v>545</v>
      </c>
      <c r="C256" t="s">
        <v>42</v>
      </c>
      <c r="D256" s="1">
        <v>45074</v>
      </c>
      <c r="E256">
        <v>673</v>
      </c>
      <c r="F256" t="s">
        <v>28</v>
      </c>
      <c r="G256">
        <v>1748</v>
      </c>
      <c r="H256">
        <v>1256</v>
      </c>
      <c r="I256">
        <v>232</v>
      </c>
      <c r="J256">
        <v>335</v>
      </c>
      <c r="K256">
        <v>585580</v>
      </c>
      <c r="L256">
        <v>56910</v>
      </c>
      <c r="M256">
        <v>528670</v>
      </c>
      <c r="N256">
        <v>420760</v>
      </c>
      <c r="O256">
        <v>107910</v>
      </c>
      <c r="P256">
        <v>20.41</v>
      </c>
      <c r="Q256">
        <v>10</v>
      </c>
      <c r="R256">
        <v>15730</v>
      </c>
      <c r="S256">
        <v>4.3099999999999996</v>
      </c>
      <c r="T256">
        <v>96</v>
      </c>
      <c r="U256">
        <v>3.52</v>
      </c>
      <c r="V256">
        <v>324472</v>
      </c>
      <c r="W256">
        <v>628019</v>
      </c>
      <c r="X256">
        <v>1.94</v>
      </c>
      <c r="Y256" t="s">
        <v>39</v>
      </c>
    </row>
    <row r="257" spans="1:25" x14ac:dyDescent="0.3">
      <c r="A257" t="s">
        <v>546</v>
      </c>
      <c r="B257" t="s">
        <v>547</v>
      </c>
      <c r="C257" t="s">
        <v>42</v>
      </c>
      <c r="D257" s="1">
        <v>45584</v>
      </c>
      <c r="E257">
        <v>163</v>
      </c>
      <c r="F257" t="s">
        <v>28</v>
      </c>
      <c r="G257">
        <v>7972</v>
      </c>
      <c r="H257">
        <v>4248</v>
      </c>
      <c r="I257">
        <v>115</v>
      </c>
      <c r="J257">
        <v>185</v>
      </c>
      <c r="K257">
        <v>1474820</v>
      </c>
      <c r="L257">
        <v>238968</v>
      </c>
      <c r="M257">
        <v>1235852</v>
      </c>
      <c r="N257">
        <v>785880</v>
      </c>
      <c r="O257">
        <v>449972</v>
      </c>
      <c r="P257">
        <v>36.409999999999997</v>
      </c>
      <c r="Q257">
        <v>6</v>
      </c>
      <c r="R257">
        <v>43044</v>
      </c>
      <c r="S257">
        <v>5.22</v>
      </c>
      <c r="T257">
        <v>44</v>
      </c>
      <c r="U257">
        <v>4.4000000000000004</v>
      </c>
      <c r="V257">
        <v>177732</v>
      </c>
      <c r="W257">
        <v>1280712</v>
      </c>
      <c r="X257">
        <v>7.21</v>
      </c>
      <c r="Y257" t="s">
        <v>39</v>
      </c>
    </row>
    <row r="258" spans="1:25" x14ac:dyDescent="0.3">
      <c r="A258" t="s">
        <v>548</v>
      </c>
      <c r="B258" t="s">
        <v>549</v>
      </c>
      <c r="C258" t="s">
        <v>42</v>
      </c>
      <c r="D258" s="1">
        <v>45142</v>
      </c>
      <c r="E258">
        <v>605</v>
      </c>
      <c r="F258" t="s">
        <v>28</v>
      </c>
      <c r="G258">
        <v>17379</v>
      </c>
      <c r="H258">
        <v>13912</v>
      </c>
      <c r="I258">
        <v>56</v>
      </c>
      <c r="J258">
        <v>89</v>
      </c>
      <c r="K258">
        <v>1546731</v>
      </c>
      <c r="L258">
        <v>263351</v>
      </c>
      <c r="M258">
        <v>1283380</v>
      </c>
      <c r="N258">
        <v>1238168</v>
      </c>
      <c r="O258">
        <v>45212</v>
      </c>
      <c r="P258">
        <v>3.52</v>
      </c>
      <c r="Q258">
        <v>10</v>
      </c>
      <c r="R258">
        <v>156410</v>
      </c>
      <c r="S258">
        <v>17.86</v>
      </c>
      <c r="T258">
        <v>22</v>
      </c>
      <c r="U258">
        <v>3.5</v>
      </c>
      <c r="V258">
        <v>224905</v>
      </c>
      <c r="W258">
        <v>4633895</v>
      </c>
      <c r="X258">
        <v>20.6</v>
      </c>
      <c r="Y258" t="s">
        <v>39</v>
      </c>
    </row>
    <row r="259" spans="1:25" x14ac:dyDescent="0.3">
      <c r="A259" t="s">
        <v>550</v>
      </c>
      <c r="B259" t="s">
        <v>551</v>
      </c>
      <c r="C259" t="s">
        <v>42</v>
      </c>
      <c r="D259" s="1">
        <v>45187</v>
      </c>
      <c r="E259">
        <v>560</v>
      </c>
      <c r="F259" t="s">
        <v>28</v>
      </c>
      <c r="G259">
        <v>18513</v>
      </c>
      <c r="H259">
        <v>12532</v>
      </c>
      <c r="I259">
        <v>60</v>
      </c>
      <c r="J259">
        <v>88</v>
      </c>
      <c r="K259">
        <v>1629144</v>
      </c>
      <c r="L259">
        <v>293029</v>
      </c>
      <c r="M259">
        <v>1336115</v>
      </c>
      <c r="N259">
        <v>1102816</v>
      </c>
      <c r="O259">
        <v>233299</v>
      </c>
      <c r="P259">
        <v>17.46</v>
      </c>
      <c r="Q259">
        <v>0</v>
      </c>
      <c r="R259">
        <v>0</v>
      </c>
      <c r="S259">
        <v>0</v>
      </c>
      <c r="T259">
        <v>25</v>
      </c>
      <c r="U259">
        <v>3.72</v>
      </c>
      <c r="V259">
        <v>99755</v>
      </c>
      <c r="W259">
        <v>2513571</v>
      </c>
      <c r="X259">
        <v>25.2</v>
      </c>
      <c r="Y259" t="s">
        <v>39</v>
      </c>
    </row>
    <row r="260" spans="1:25" x14ac:dyDescent="0.3">
      <c r="A260" t="s">
        <v>552</v>
      </c>
      <c r="B260" t="s">
        <v>553</v>
      </c>
      <c r="C260" t="s">
        <v>42</v>
      </c>
      <c r="D260" s="1">
        <v>45023</v>
      </c>
      <c r="E260">
        <v>724</v>
      </c>
      <c r="F260" t="s">
        <v>28</v>
      </c>
      <c r="G260">
        <v>5188</v>
      </c>
      <c r="H260">
        <v>3969</v>
      </c>
      <c r="I260">
        <v>73</v>
      </c>
      <c r="J260">
        <v>105</v>
      </c>
      <c r="K260">
        <v>544740</v>
      </c>
      <c r="L260">
        <v>102909</v>
      </c>
      <c r="M260">
        <v>441831</v>
      </c>
      <c r="N260">
        <v>416745</v>
      </c>
      <c r="O260">
        <v>25086</v>
      </c>
      <c r="P260">
        <v>5.68</v>
      </c>
      <c r="Q260">
        <v>10</v>
      </c>
      <c r="R260">
        <v>46690</v>
      </c>
      <c r="S260">
        <v>13.7</v>
      </c>
      <c r="T260">
        <v>30</v>
      </c>
      <c r="U260">
        <v>3.38</v>
      </c>
      <c r="V260">
        <v>693187</v>
      </c>
      <c r="W260">
        <v>4332689</v>
      </c>
      <c r="X260">
        <v>6.25</v>
      </c>
      <c r="Y260" t="s">
        <v>39</v>
      </c>
    </row>
    <row r="261" spans="1:25" x14ac:dyDescent="0.3">
      <c r="A261" t="s">
        <v>554</v>
      </c>
      <c r="B261" t="s">
        <v>555</v>
      </c>
      <c r="C261" t="s">
        <v>42</v>
      </c>
      <c r="D261" s="1">
        <v>45410</v>
      </c>
      <c r="E261">
        <v>337</v>
      </c>
      <c r="F261" t="s">
        <v>28</v>
      </c>
      <c r="G261">
        <v>15471</v>
      </c>
      <c r="H261">
        <v>7555</v>
      </c>
      <c r="I261">
        <v>28</v>
      </c>
      <c r="J261">
        <v>40</v>
      </c>
      <c r="K261">
        <v>618840</v>
      </c>
      <c r="L261">
        <v>85496</v>
      </c>
      <c r="M261">
        <v>533344</v>
      </c>
      <c r="N261">
        <v>302200</v>
      </c>
      <c r="O261">
        <v>231144</v>
      </c>
      <c r="P261">
        <v>43.34</v>
      </c>
      <c r="Q261">
        <v>2</v>
      </c>
      <c r="R261">
        <v>27846</v>
      </c>
      <c r="S261">
        <v>7.14</v>
      </c>
      <c r="T261">
        <v>13</v>
      </c>
      <c r="U261">
        <v>4.38</v>
      </c>
      <c r="V261">
        <v>316105</v>
      </c>
      <c r="W261">
        <v>6532472</v>
      </c>
      <c r="X261">
        <v>20.67</v>
      </c>
      <c r="Y261" t="s">
        <v>39</v>
      </c>
    </row>
    <row r="262" spans="1:25" x14ac:dyDescent="0.3">
      <c r="A262" t="s">
        <v>556</v>
      </c>
      <c r="B262" t="s">
        <v>557</v>
      </c>
      <c r="C262" t="s">
        <v>42</v>
      </c>
      <c r="D262" s="1">
        <v>45295</v>
      </c>
      <c r="E262">
        <v>452</v>
      </c>
      <c r="F262" t="s">
        <v>28</v>
      </c>
      <c r="G262">
        <v>11121</v>
      </c>
      <c r="H262">
        <v>6772</v>
      </c>
      <c r="I262">
        <v>76</v>
      </c>
      <c r="J262">
        <v>105</v>
      </c>
      <c r="K262">
        <v>1167705</v>
      </c>
      <c r="L262">
        <v>168610</v>
      </c>
      <c r="M262">
        <v>999095</v>
      </c>
      <c r="N262">
        <v>711060</v>
      </c>
      <c r="O262">
        <v>288035</v>
      </c>
      <c r="P262">
        <v>28.83</v>
      </c>
      <c r="Q262">
        <v>7</v>
      </c>
      <c r="R262">
        <v>70056</v>
      </c>
      <c r="S262">
        <v>9.2100000000000009</v>
      </c>
      <c r="T262">
        <v>29</v>
      </c>
      <c r="U262">
        <v>3.91</v>
      </c>
      <c r="V262">
        <v>246983</v>
      </c>
      <c r="W262">
        <v>1491219</v>
      </c>
      <c r="X262">
        <v>6.04</v>
      </c>
      <c r="Y262" t="s">
        <v>39</v>
      </c>
    </row>
    <row r="263" spans="1:25" x14ac:dyDescent="0.3">
      <c r="A263" t="s">
        <v>558</v>
      </c>
      <c r="B263" t="s">
        <v>559</v>
      </c>
      <c r="C263" t="s">
        <v>42</v>
      </c>
      <c r="D263" s="1">
        <v>45027</v>
      </c>
      <c r="E263">
        <v>720</v>
      </c>
      <c r="F263" t="s">
        <v>28</v>
      </c>
      <c r="G263">
        <v>1594</v>
      </c>
      <c r="H263">
        <v>807</v>
      </c>
      <c r="I263">
        <v>82</v>
      </c>
      <c r="J263">
        <v>120</v>
      </c>
      <c r="K263">
        <v>191280</v>
      </c>
      <c r="L263">
        <v>25952</v>
      </c>
      <c r="M263">
        <v>165328</v>
      </c>
      <c r="N263">
        <v>96840</v>
      </c>
      <c r="O263">
        <v>68488</v>
      </c>
      <c r="P263">
        <v>41.43</v>
      </c>
      <c r="Q263">
        <v>9</v>
      </c>
      <c r="R263">
        <v>12906</v>
      </c>
      <c r="S263">
        <v>10.98</v>
      </c>
      <c r="T263">
        <v>34</v>
      </c>
      <c r="U263">
        <v>4.32</v>
      </c>
      <c r="V263">
        <v>624525</v>
      </c>
      <c r="W263">
        <v>1104263</v>
      </c>
      <c r="X263">
        <v>1.77</v>
      </c>
      <c r="Y263" t="s">
        <v>39</v>
      </c>
    </row>
    <row r="264" spans="1:25" x14ac:dyDescent="0.3">
      <c r="A264" t="s">
        <v>560</v>
      </c>
      <c r="B264" t="s">
        <v>561</v>
      </c>
      <c r="C264" t="s">
        <v>42</v>
      </c>
      <c r="D264" s="1">
        <v>44850</v>
      </c>
      <c r="E264">
        <v>897</v>
      </c>
      <c r="F264" t="s">
        <v>28</v>
      </c>
      <c r="G264">
        <v>10233</v>
      </c>
      <c r="H264">
        <v>4802</v>
      </c>
      <c r="I264">
        <v>58</v>
      </c>
      <c r="J264">
        <v>86</v>
      </c>
      <c r="K264">
        <v>880038</v>
      </c>
      <c r="L264">
        <v>81831</v>
      </c>
      <c r="M264">
        <v>798207</v>
      </c>
      <c r="N264">
        <v>412972</v>
      </c>
      <c r="O264">
        <v>385235</v>
      </c>
      <c r="P264">
        <v>48.26</v>
      </c>
      <c r="Q264">
        <v>3</v>
      </c>
      <c r="R264">
        <v>27627</v>
      </c>
      <c r="S264">
        <v>5.17</v>
      </c>
      <c r="T264">
        <v>24</v>
      </c>
      <c r="U264">
        <v>4.4000000000000004</v>
      </c>
      <c r="V264">
        <v>503641</v>
      </c>
      <c r="W264">
        <v>4261528</v>
      </c>
      <c r="X264">
        <v>8.4600000000000009</v>
      </c>
      <c r="Y264" t="s">
        <v>39</v>
      </c>
    </row>
    <row r="265" spans="1:25" x14ac:dyDescent="0.3">
      <c r="A265" t="s">
        <v>562</v>
      </c>
      <c r="B265" t="s">
        <v>563</v>
      </c>
      <c r="C265" t="s">
        <v>42</v>
      </c>
      <c r="D265" s="1">
        <v>45555</v>
      </c>
      <c r="E265">
        <v>192</v>
      </c>
      <c r="F265" t="s">
        <v>28</v>
      </c>
      <c r="G265">
        <v>8248</v>
      </c>
      <c r="H265">
        <v>4841</v>
      </c>
      <c r="I265">
        <v>56</v>
      </c>
      <c r="J265">
        <v>84</v>
      </c>
      <c r="K265">
        <v>692832</v>
      </c>
      <c r="L265">
        <v>127762</v>
      </c>
      <c r="M265">
        <v>565070</v>
      </c>
      <c r="N265">
        <v>406644</v>
      </c>
      <c r="O265">
        <v>158426</v>
      </c>
      <c r="P265">
        <v>28.04</v>
      </c>
      <c r="Q265">
        <v>5</v>
      </c>
      <c r="R265">
        <v>37115</v>
      </c>
      <c r="S265">
        <v>8.93</v>
      </c>
      <c r="T265">
        <v>24</v>
      </c>
      <c r="U265">
        <v>4.04</v>
      </c>
      <c r="V265">
        <v>447473</v>
      </c>
      <c r="W265">
        <v>4059551</v>
      </c>
      <c r="X265">
        <v>9.07</v>
      </c>
      <c r="Y265" t="s">
        <v>39</v>
      </c>
    </row>
    <row r="266" spans="1:25" x14ac:dyDescent="0.3">
      <c r="A266" t="s">
        <v>564</v>
      </c>
      <c r="B266" t="s">
        <v>565</v>
      </c>
      <c r="C266" t="s">
        <v>42</v>
      </c>
      <c r="D266" s="1">
        <v>45203</v>
      </c>
      <c r="E266">
        <v>544</v>
      </c>
      <c r="F266" t="s">
        <v>28</v>
      </c>
      <c r="G266">
        <v>12071</v>
      </c>
      <c r="H266">
        <v>9188</v>
      </c>
      <c r="I266">
        <v>60</v>
      </c>
      <c r="J266">
        <v>93</v>
      </c>
      <c r="K266">
        <v>1122603</v>
      </c>
      <c r="L266">
        <v>133776</v>
      </c>
      <c r="M266">
        <v>988827</v>
      </c>
      <c r="N266">
        <v>854484</v>
      </c>
      <c r="O266">
        <v>134343</v>
      </c>
      <c r="P266">
        <v>13.59</v>
      </c>
      <c r="Q266">
        <v>2</v>
      </c>
      <c r="R266">
        <v>21726</v>
      </c>
      <c r="S266">
        <v>3.33</v>
      </c>
      <c r="T266">
        <v>23</v>
      </c>
      <c r="U266">
        <v>3.61</v>
      </c>
      <c r="V266">
        <v>575100</v>
      </c>
      <c r="W266">
        <v>5360790</v>
      </c>
      <c r="X266">
        <v>9.32</v>
      </c>
      <c r="Y266" t="s">
        <v>39</v>
      </c>
    </row>
    <row r="267" spans="1:25" x14ac:dyDescent="0.3">
      <c r="A267" t="s">
        <v>566</v>
      </c>
      <c r="B267" t="s">
        <v>567</v>
      </c>
      <c r="C267" t="s">
        <v>42</v>
      </c>
      <c r="D267" s="1">
        <v>45258</v>
      </c>
      <c r="E267">
        <v>489</v>
      </c>
      <c r="F267" t="s">
        <v>28</v>
      </c>
      <c r="G267">
        <v>6955</v>
      </c>
      <c r="H267">
        <v>5099</v>
      </c>
      <c r="I267">
        <v>127</v>
      </c>
      <c r="J267">
        <v>189</v>
      </c>
      <c r="K267">
        <v>1314495</v>
      </c>
      <c r="L267">
        <v>148470</v>
      </c>
      <c r="M267">
        <v>1166025</v>
      </c>
      <c r="N267">
        <v>963711</v>
      </c>
      <c r="O267">
        <v>202314</v>
      </c>
      <c r="P267">
        <v>17.350000000000001</v>
      </c>
      <c r="Q267">
        <v>19</v>
      </c>
      <c r="R267">
        <v>118921</v>
      </c>
      <c r="S267">
        <v>14.96</v>
      </c>
      <c r="T267">
        <v>41</v>
      </c>
      <c r="U267">
        <v>3.43</v>
      </c>
      <c r="V267">
        <v>151870</v>
      </c>
      <c r="W267">
        <v>1351611</v>
      </c>
      <c r="X267">
        <v>8.9</v>
      </c>
      <c r="Y267" t="s">
        <v>39</v>
      </c>
    </row>
    <row r="268" spans="1:25" x14ac:dyDescent="0.3">
      <c r="A268" t="s">
        <v>568</v>
      </c>
      <c r="B268" t="s">
        <v>569</v>
      </c>
      <c r="C268" t="s">
        <v>42</v>
      </c>
      <c r="D268" s="1">
        <v>45137</v>
      </c>
      <c r="E268">
        <v>610</v>
      </c>
      <c r="F268" t="s">
        <v>28</v>
      </c>
      <c r="G268">
        <v>19276</v>
      </c>
      <c r="H268">
        <v>11102</v>
      </c>
      <c r="I268">
        <v>72</v>
      </c>
      <c r="J268">
        <v>113</v>
      </c>
      <c r="K268">
        <v>2178188</v>
      </c>
      <c r="L268">
        <v>380557</v>
      </c>
      <c r="M268">
        <v>1797631</v>
      </c>
      <c r="N268">
        <v>1254526</v>
      </c>
      <c r="O268">
        <v>543105</v>
      </c>
      <c r="P268">
        <v>30.21</v>
      </c>
      <c r="Q268">
        <v>10</v>
      </c>
      <c r="R268">
        <v>173480</v>
      </c>
      <c r="S268">
        <v>13.89</v>
      </c>
      <c r="T268">
        <v>23</v>
      </c>
      <c r="U268">
        <v>4.3499999999999996</v>
      </c>
      <c r="V268">
        <v>592701</v>
      </c>
      <c r="W268">
        <v>11535983</v>
      </c>
      <c r="X268">
        <v>19.46</v>
      </c>
      <c r="Y268" t="s">
        <v>39</v>
      </c>
    </row>
    <row r="269" spans="1:25" x14ac:dyDescent="0.3">
      <c r="A269" t="s">
        <v>570</v>
      </c>
      <c r="B269" t="s">
        <v>571</v>
      </c>
      <c r="C269" t="s">
        <v>42</v>
      </c>
      <c r="D269" s="1">
        <v>45335</v>
      </c>
      <c r="E269">
        <v>412</v>
      </c>
      <c r="F269" t="s">
        <v>28</v>
      </c>
      <c r="G269">
        <v>8731</v>
      </c>
      <c r="H269">
        <v>4858</v>
      </c>
      <c r="I269">
        <v>36</v>
      </c>
      <c r="J269">
        <v>55</v>
      </c>
      <c r="K269">
        <v>480205</v>
      </c>
      <c r="L269">
        <v>52255</v>
      </c>
      <c r="M269">
        <v>427950</v>
      </c>
      <c r="N269">
        <v>267190</v>
      </c>
      <c r="O269">
        <v>160760</v>
      </c>
      <c r="P269">
        <v>37.57</v>
      </c>
      <c r="Q269">
        <v>5</v>
      </c>
      <c r="R269">
        <v>39285</v>
      </c>
      <c r="S269">
        <v>13.89</v>
      </c>
      <c r="T269">
        <v>15</v>
      </c>
      <c r="U269">
        <v>4.07</v>
      </c>
      <c r="V269">
        <v>168638</v>
      </c>
      <c r="W269">
        <v>1460971</v>
      </c>
      <c r="X269">
        <v>8.66</v>
      </c>
      <c r="Y269" t="s">
        <v>39</v>
      </c>
    </row>
    <row r="270" spans="1:25" x14ac:dyDescent="0.3">
      <c r="A270" t="s">
        <v>572</v>
      </c>
      <c r="B270" t="s">
        <v>573</v>
      </c>
      <c r="C270" t="s">
        <v>42</v>
      </c>
      <c r="D270" s="1">
        <v>45394</v>
      </c>
      <c r="E270">
        <v>353</v>
      </c>
      <c r="F270" t="s">
        <v>28</v>
      </c>
      <c r="G270">
        <v>5845</v>
      </c>
      <c r="H270">
        <v>4892</v>
      </c>
      <c r="I270">
        <v>139</v>
      </c>
      <c r="J270">
        <v>204</v>
      </c>
      <c r="K270">
        <v>1192380</v>
      </c>
      <c r="L270">
        <v>175581</v>
      </c>
      <c r="M270">
        <v>1016799</v>
      </c>
      <c r="N270">
        <v>997968</v>
      </c>
      <c r="O270">
        <v>18831</v>
      </c>
      <c r="P270">
        <v>1.85</v>
      </c>
      <c r="Q270">
        <v>10</v>
      </c>
      <c r="R270">
        <v>52600</v>
      </c>
      <c r="S270">
        <v>7.19</v>
      </c>
      <c r="T270">
        <v>55</v>
      </c>
      <c r="U270">
        <v>3.18</v>
      </c>
      <c r="V270">
        <v>183352</v>
      </c>
      <c r="W270">
        <v>1098920</v>
      </c>
      <c r="X270">
        <v>5.99</v>
      </c>
      <c r="Y270" t="s">
        <v>39</v>
      </c>
    </row>
    <row r="271" spans="1:25" x14ac:dyDescent="0.3">
      <c r="A271" t="s">
        <v>574</v>
      </c>
      <c r="B271" t="s">
        <v>575</v>
      </c>
      <c r="C271" t="s">
        <v>42</v>
      </c>
      <c r="D271" s="1">
        <v>44911</v>
      </c>
      <c r="E271">
        <v>836</v>
      </c>
      <c r="F271" t="s">
        <v>28</v>
      </c>
      <c r="G271">
        <v>1407</v>
      </c>
      <c r="H271">
        <v>735</v>
      </c>
      <c r="I271">
        <v>132</v>
      </c>
      <c r="J271">
        <v>193</v>
      </c>
      <c r="K271">
        <v>271551</v>
      </c>
      <c r="L271">
        <v>46431</v>
      </c>
      <c r="M271">
        <v>225120</v>
      </c>
      <c r="N271">
        <v>141855</v>
      </c>
      <c r="O271">
        <v>83265</v>
      </c>
      <c r="P271">
        <v>36.99</v>
      </c>
      <c r="Q271">
        <v>7</v>
      </c>
      <c r="R271">
        <v>8862</v>
      </c>
      <c r="S271">
        <v>5.3</v>
      </c>
      <c r="T271">
        <v>63</v>
      </c>
      <c r="U271">
        <v>4.3099999999999996</v>
      </c>
      <c r="V271">
        <v>269252</v>
      </c>
      <c r="W271">
        <v>470104</v>
      </c>
      <c r="X271">
        <v>1.75</v>
      </c>
      <c r="Y271" t="s">
        <v>39</v>
      </c>
    </row>
    <row r="272" spans="1:25" x14ac:dyDescent="0.3">
      <c r="A272" t="s">
        <v>576</v>
      </c>
      <c r="B272" t="s">
        <v>577</v>
      </c>
      <c r="C272" t="s">
        <v>42</v>
      </c>
      <c r="D272" s="1">
        <v>44844</v>
      </c>
      <c r="E272">
        <v>903</v>
      </c>
      <c r="F272" t="s">
        <v>28</v>
      </c>
      <c r="G272">
        <v>2526</v>
      </c>
      <c r="H272">
        <v>1469</v>
      </c>
      <c r="I272">
        <v>186</v>
      </c>
      <c r="J272">
        <v>274</v>
      </c>
      <c r="K272">
        <v>692124</v>
      </c>
      <c r="L272">
        <v>118969</v>
      </c>
      <c r="M272">
        <v>573155</v>
      </c>
      <c r="N272">
        <v>402506</v>
      </c>
      <c r="O272">
        <v>170649</v>
      </c>
      <c r="P272">
        <v>29.77</v>
      </c>
      <c r="Q272">
        <v>9</v>
      </c>
      <c r="R272">
        <v>20457</v>
      </c>
      <c r="S272">
        <v>4.84</v>
      </c>
      <c r="T272">
        <v>65</v>
      </c>
      <c r="U272">
        <v>4.1500000000000004</v>
      </c>
      <c r="V272">
        <v>553048</v>
      </c>
      <c r="W272">
        <v>1826175</v>
      </c>
      <c r="X272">
        <v>3.3</v>
      </c>
      <c r="Y272" t="s">
        <v>29</v>
      </c>
    </row>
    <row r="273" spans="1:25" x14ac:dyDescent="0.3">
      <c r="A273" t="s">
        <v>578</v>
      </c>
      <c r="B273" t="s">
        <v>579</v>
      </c>
      <c r="C273" t="s">
        <v>42</v>
      </c>
      <c r="D273" s="1">
        <v>44847</v>
      </c>
      <c r="E273">
        <v>900</v>
      </c>
      <c r="F273" t="s">
        <v>28</v>
      </c>
      <c r="G273">
        <v>17738</v>
      </c>
      <c r="H273">
        <v>11560</v>
      </c>
      <c r="I273">
        <v>40</v>
      </c>
      <c r="J273">
        <v>58</v>
      </c>
      <c r="K273">
        <v>1028804</v>
      </c>
      <c r="L273">
        <v>129181</v>
      </c>
      <c r="M273">
        <v>899623</v>
      </c>
      <c r="N273">
        <v>670480</v>
      </c>
      <c r="O273">
        <v>229143</v>
      </c>
      <c r="P273">
        <v>25.47</v>
      </c>
      <c r="Q273">
        <v>4</v>
      </c>
      <c r="R273">
        <v>63856</v>
      </c>
      <c r="S273">
        <v>10</v>
      </c>
      <c r="T273">
        <v>16</v>
      </c>
      <c r="U273">
        <v>3.94</v>
      </c>
      <c r="V273">
        <v>652501</v>
      </c>
      <c r="W273">
        <v>8784997</v>
      </c>
      <c r="X273">
        <v>13.46</v>
      </c>
      <c r="Y273" t="s">
        <v>39</v>
      </c>
    </row>
    <row r="274" spans="1:25" x14ac:dyDescent="0.3">
      <c r="A274" t="s">
        <v>580</v>
      </c>
      <c r="B274" t="s">
        <v>581</v>
      </c>
      <c r="C274" t="s">
        <v>42</v>
      </c>
      <c r="D274" s="1">
        <v>45525</v>
      </c>
      <c r="E274">
        <v>222</v>
      </c>
      <c r="F274" t="s">
        <v>28</v>
      </c>
      <c r="G274">
        <v>16755</v>
      </c>
      <c r="H274">
        <v>8948</v>
      </c>
      <c r="I274">
        <v>66</v>
      </c>
      <c r="J274">
        <v>105</v>
      </c>
      <c r="K274">
        <v>1759275</v>
      </c>
      <c r="L274">
        <v>225089</v>
      </c>
      <c r="M274">
        <v>1534186</v>
      </c>
      <c r="N274">
        <v>939540</v>
      </c>
      <c r="O274">
        <v>594646</v>
      </c>
      <c r="P274">
        <v>38.76</v>
      </c>
      <c r="Q274">
        <v>5</v>
      </c>
      <c r="R274">
        <v>75395</v>
      </c>
      <c r="S274">
        <v>7.58</v>
      </c>
      <c r="T274">
        <v>26</v>
      </c>
      <c r="U274">
        <v>4.3499999999999996</v>
      </c>
      <c r="V274">
        <v>99261</v>
      </c>
      <c r="W274">
        <v>1215153</v>
      </c>
      <c r="X274">
        <v>12.24</v>
      </c>
      <c r="Y274" t="s">
        <v>61</v>
      </c>
    </row>
    <row r="275" spans="1:25" x14ac:dyDescent="0.3">
      <c r="A275" t="s">
        <v>582</v>
      </c>
      <c r="B275" t="s">
        <v>583</v>
      </c>
      <c r="C275" t="s">
        <v>42</v>
      </c>
      <c r="D275" s="1">
        <v>45093</v>
      </c>
      <c r="E275">
        <v>654</v>
      </c>
      <c r="F275" t="s">
        <v>28</v>
      </c>
      <c r="G275">
        <v>6588</v>
      </c>
      <c r="H275">
        <v>4091</v>
      </c>
      <c r="I275">
        <v>121</v>
      </c>
      <c r="J275">
        <v>175</v>
      </c>
      <c r="K275">
        <v>1152900</v>
      </c>
      <c r="L275">
        <v>172890</v>
      </c>
      <c r="M275">
        <v>980010</v>
      </c>
      <c r="N275">
        <v>715925</v>
      </c>
      <c r="O275">
        <v>264085</v>
      </c>
      <c r="P275">
        <v>26.95</v>
      </c>
      <c r="Q275">
        <v>5</v>
      </c>
      <c r="R275">
        <v>29645</v>
      </c>
      <c r="S275">
        <v>4.13</v>
      </c>
      <c r="T275">
        <v>34</v>
      </c>
      <c r="U275">
        <v>3.87</v>
      </c>
      <c r="V275">
        <v>174726</v>
      </c>
      <c r="W275">
        <v>1929248</v>
      </c>
      <c r="X275">
        <v>11.04</v>
      </c>
      <c r="Y275" t="s">
        <v>39</v>
      </c>
    </row>
    <row r="276" spans="1:25" x14ac:dyDescent="0.3">
      <c r="A276" t="s">
        <v>584</v>
      </c>
      <c r="B276" t="s">
        <v>585</v>
      </c>
      <c r="C276" t="s">
        <v>42</v>
      </c>
      <c r="D276" s="1">
        <v>45548</v>
      </c>
      <c r="E276">
        <v>199</v>
      </c>
      <c r="F276" t="s">
        <v>28</v>
      </c>
      <c r="G276">
        <v>18812</v>
      </c>
      <c r="H276">
        <v>14871</v>
      </c>
      <c r="I276">
        <v>58</v>
      </c>
      <c r="J276">
        <v>85</v>
      </c>
      <c r="K276">
        <v>1599020</v>
      </c>
      <c r="L276">
        <v>246657</v>
      </c>
      <c r="M276">
        <v>1352363</v>
      </c>
      <c r="N276">
        <v>1264035</v>
      </c>
      <c r="O276">
        <v>88328</v>
      </c>
      <c r="P276">
        <v>6.53</v>
      </c>
      <c r="Q276">
        <v>8</v>
      </c>
      <c r="R276">
        <v>135440</v>
      </c>
      <c r="S276">
        <v>13.79</v>
      </c>
      <c r="T276">
        <v>20</v>
      </c>
      <c r="U276">
        <v>3.2</v>
      </c>
      <c r="V276">
        <v>631828</v>
      </c>
      <c r="W276">
        <v>9583577</v>
      </c>
      <c r="X276">
        <v>15.17</v>
      </c>
      <c r="Y276" t="s">
        <v>39</v>
      </c>
    </row>
    <row r="277" spans="1:25" x14ac:dyDescent="0.3">
      <c r="A277" t="s">
        <v>586</v>
      </c>
      <c r="B277" t="s">
        <v>587</v>
      </c>
      <c r="C277" t="s">
        <v>42</v>
      </c>
      <c r="D277" s="1">
        <v>45221</v>
      </c>
      <c r="E277">
        <v>526</v>
      </c>
      <c r="F277" t="s">
        <v>28</v>
      </c>
      <c r="G277">
        <v>3362</v>
      </c>
      <c r="H277">
        <v>2412</v>
      </c>
      <c r="I277">
        <v>176</v>
      </c>
      <c r="J277">
        <v>264</v>
      </c>
      <c r="K277">
        <v>887568</v>
      </c>
      <c r="L277">
        <v>99032</v>
      </c>
      <c r="M277">
        <v>788536</v>
      </c>
      <c r="N277">
        <v>636768</v>
      </c>
      <c r="O277">
        <v>151768</v>
      </c>
      <c r="P277">
        <v>19.25</v>
      </c>
      <c r="Q277">
        <v>25</v>
      </c>
      <c r="R277">
        <v>75625</v>
      </c>
      <c r="S277">
        <v>14.2</v>
      </c>
      <c r="T277">
        <v>71</v>
      </c>
      <c r="U277">
        <v>3.62</v>
      </c>
      <c r="V277">
        <v>508598</v>
      </c>
      <c r="W277">
        <v>1041528</v>
      </c>
      <c r="X277">
        <v>2.0499999999999998</v>
      </c>
      <c r="Y277" t="s">
        <v>39</v>
      </c>
    </row>
    <row r="278" spans="1:25" x14ac:dyDescent="0.3">
      <c r="A278" t="s">
        <v>588</v>
      </c>
      <c r="B278" t="s">
        <v>589</v>
      </c>
      <c r="C278" t="s">
        <v>42</v>
      </c>
      <c r="D278" s="1">
        <v>44932</v>
      </c>
      <c r="E278">
        <v>815</v>
      </c>
      <c r="F278" t="s">
        <v>28</v>
      </c>
      <c r="G278">
        <v>11154</v>
      </c>
      <c r="H278">
        <v>7198</v>
      </c>
      <c r="I278">
        <v>37</v>
      </c>
      <c r="J278">
        <v>57</v>
      </c>
      <c r="K278">
        <v>635778</v>
      </c>
      <c r="L278">
        <v>102378</v>
      </c>
      <c r="M278">
        <v>533400</v>
      </c>
      <c r="N278">
        <v>410286</v>
      </c>
      <c r="O278">
        <v>123114</v>
      </c>
      <c r="P278">
        <v>23.08</v>
      </c>
      <c r="Q278">
        <v>3</v>
      </c>
      <c r="R278">
        <v>30114</v>
      </c>
      <c r="S278">
        <v>8.11</v>
      </c>
      <c r="T278">
        <v>16</v>
      </c>
      <c r="U278">
        <v>4.0599999999999996</v>
      </c>
      <c r="V278">
        <v>598492</v>
      </c>
      <c r="W278">
        <v>9284849</v>
      </c>
      <c r="X278">
        <v>15.51</v>
      </c>
      <c r="Y278" t="s">
        <v>39</v>
      </c>
    </row>
    <row r="279" spans="1:25" x14ac:dyDescent="0.3">
      <c r="A279" t="s">
        <v>590</v>
      </c>
      <c r="B279" t="s">
        <v>591</v>
      </c>
      <c r="C279" t="s">
        <v>42</v>
      </c>
      <c r="D279" s="1">
        <v>44911</v>
      </c>
      <c r="E279">
        <v>836</v>
      </c>
      <c r="F279" t="s">
        <v>28</v>
      </c>
      <c r="G279">
        <v>9182</v>
      </c>
      <c r="H279">
        <v>8071</v>
      </c>
      <c r="I279">
        <v>39</v>
      </c>
      <c r="J279">
        <v>57</v>
      </c>
      <c r="K279">
        <v>523374</v>
      </c>
      <c r="L279">
        <v>54236</v>
      </c>
      <c r="M279">
        <v>469138</v>
      </c>
      <c r="N279">
        <v>460047</v>
      </c>
      <c r="O279">
        <v>9091</v>
      </c>
      <c r="P279">
        <v>1.94</v>
      </c>
      <c r="Q279">
        <v>2</v>
      </c>
      <c r="R279">
        <v>16526</v>
      </c>
      <c r="S279">
        <v>5.13</v>
      </c>
      <c r="T279">
        <v>15</v>
      </c>
      <c r="U279">
        <v>2.63</v>
      </c>
      <c r="V279">
        <v>658403</v>
      </c>
      <c r="W279">
        <v>6961659</v>
      </c>
      <c r="X279">
        <v>10.57</v>
      </c>
      <c r="Y279" t="s">
        <v>39</v>
      </c>
    </row>
    <row r="280" spans="1:25" x14ac:dyDescent="0.3">
      <c r="A280" t="s">
        <v>592</v>
      </c>
      <c r="B280" t="s">
        <v>593</v>
      </c>
      <c r="C280" t="s">
        <v>42</v>
      </c>
      <c r="D280" s="1">
        <v>45436</v>
      </c>
      <c r="E280">
        <v>311</v>
      </c>
      <c r="F280" t="s">
        <v>28</v>
      </c>
      <c r="G280">
        <v>812</v>
      </c>
      <c r="H280">
        <v>379</v>
      </c>
      <c r="I280">
        <v>366</v>
      </c>
      <c r="J280">
        <v>546</v>
      </c>
      <c r="K280">
        <v>443352</v>
      </c>
      <c r="L280">
        <v>70421</v>
      </c>
      <c r="M280">
        <v>372931</v>
      </c>
      <c r="N280">
        <v>206934</v>
      </c>
      <c r="O280">
        <v>165997</v>
      </c>
      <c r="P280">
        <v>44.51</v>
      </c>
      <c r="Q280">
        <v>18</v>
      </c>
      <c r="R280">
        <v>13140</v>
      </c>
      <c r="S280">
        <v>4.92</v>
      </c>
      <c r="T280">
        <v>132</v>
      </c>
      <c r="U280">
        <v>4.45</v>
      </c>
      <c r="V280">
        <v>371318</v>
      </c>
      <c r="W280">
        <v>444992</v>
      </c>
      <c r="X280">
        <v>1.2</v>
      </c>
      <c r="Y280" t="s">
        <v>29</v>
      </c>
    </row>
    <row r="281" spans="1:25" x14ac:dyDescent="0.3">
      <c r="A281" t="s">
        <v>594</v>
      </c>
      <c r="B281" t="s">
        <v>595</v>
      </c>
      <c r="C281" t="s">
        <v>42</v>
      </c>
      <c r="D281" s="1">
        <v>45233</v>
      </c>
      <c r="E281">
        <v>514</v>
      </c>
      <c r="F281" t="s">
        <v>28</v>
      </c>
      <c r="G281">
        <v>8178</v>
      </c>
      <c r="H281">
        <v>5274</v>
      </c>
      <c r="I281">
        <v>120</v>
      </c>
      <c r="J281">
        <v>165</v>
      </c>
      <c r="K281">
        <v>1349370</v>
      </c>
      <c r="L281">
        <v>172941</v>
      </c>
      <c r="M281">
        <v>1176429</v>
      </c>
      <c r="N281">
        <v>870210</v>
      </c>
      <c r="O281">
        <v>306219</v>
      </c>
      <c r="P281">
        <v>26.03</v>
      </c>
      <c r="Q281">
        <v>4</v>
      </c>
      <c r="R281">
        <v>29440</v>
      </c>
      <c r="S281">
        <v>3.33</v>
      </c>
      <c r="T281">
        <v>47</v>
      </c>
      <c r="U281">
        <v>3.9</v>
      </c>
      <c r="V281">
        <v>225753</v>
      </c>
      <c r="W281">
        <v>1707141</v>
      </c>
      <c r="X281">
        <v>7.56</v>
      </c>
      <c r="Y281" t="s">
        <v>39</v>
      </c>
    </row>
    <row r="282" spans="1:25" x14ac:dyDescent="0.3">
      <c r="A282" t="s">
        <v>596</v>
      </c>
      <c r="B282" t="s">
        <v>597</v>
      </c>
      <c r="C282" t="s">
        <v>42</v>
      </c>
      <c r="D282" s="1">
        <v>45189</v>
      </c>
      <c r="E282">
        <v>558</v>
      </c>
      <c r="F282" t="s">
        <v>28</v>
      </c>
      <c r="G282">
        <v>16708</v>
      </c>
      <c r="H282">
        <v>9432</v>
      </c>
      <c r="I282">
        <v>43</v>
      </c>
      <c r="J282">
        <v>63</v>
      </c>
      <c r="K282">
        <v>1052604</v>
      </c>
      <c r="L282">
        <v>179983</v>
      </c>
      <c r="M282">
        <v>872621</v>
      </c>
      <c r="N282">
        <v>594216</v>
      </c>
      <c r="O282">
        <v>278405</v>
      </c>
      <c r="P282">
        <v>31.9</v>
      </c>
      <c r="Q282">
        <v>3</v>
      </c>
      <c r="R282">
        <v>45111</v>
      </c>
      <c r="S282">
        <v>6.98</v>
      </c>
      <c r="T282">
        <v>16</v>
      </c>
      <c r="U282">
        <v>4.09</v>
      </c>
      <c r="V282">
        <v>486721</v>
      </c>
      <c r="W282">
        <v>4119470</v>
      </c>
      <c r="X282">
        <v>8.4600000000000009</v>
      </c>
      <c r="Y282" t="s">
        <v>39</v>
      </c>
    </row>
    <row r="283" spans="1:25" x14ac:dyDescent="0.3">
      <c r="A283" t="s">
        <v>598</v>
      </c>
      <c r="B283" t="s">
        <v>599</v>
      </c>
      <c r="C283" t="s">
        <v>42</v>
      </c>
      <c r="D283" s="1">
        <v>45627</v>
      </c>
      <c r="E283">
        <v>120</v>
      </c>
      <c r="F283" t="s">
        <v>28</v>
      </c>
      <c r="G283">
        <v>19815</v>
      </c>
      <c r="H283">
        <v>14296</v>
      </c>
      <c r="I283">
        <v>56</v>
      </c>
      <c r="J283">
        <v>82</v>
      </c>
      <c r="K283">
        <v>1624830</v>
      </c>
      <c r="L283">
        <v>275213</v>
      </c>
      <c r="M283">
        <v>1349617</v>
      </c>
      <c r="N283">
        <v>1172272</v>
      </c>
      <c r="O283">
        <v>177345</v>
      </c>
      <c r="P283">
        <v>13.14</v>
      </c>
      <c r="Q283">
        <v>6</v>
      </c>
      <c r="R283">
        <v>106998</v>
      </c>
      <c r="S283">
        <v>10.71</v>
      </c>
      <c r="T283">
        <v>16</v>
      </c>
      <c r="U283">
        <v>3.56</v>
      </c>
      <c r="V283">
        <v>513871</v>
      </c>
      <c r="W283">
        <v>10926890</v>
      </c>
      <c r="X283">
        <v>21.26</v>
      </c>
      <c r="Y283" t="s">
        <v>39</v>
      </c>
    </row>
    <row r="284" spans="1:25" x14ac:dyDescent="0.3">
      <c r="A284" t="s">
        <v>600</v>
      </c>
      <c r="B284" t="s">
        <v>601</v>
      </c>
      <c r="C284" t="s">
        <v>42</v>
      </c>
      <c r="D284" s="1">
        <v>45277</v>
      </c>
      <c r="E284">
        <v>470</v>
      </c>
      <c r="F284" t="s">
        <v>28</v>
      </c>
      <c r="G284">
        <v>18420</v>
      </c>
      <c r="H284">
        <v>8776</v>
      </c>
      <c r="I284">
        <v>87</v>
      </c>
      <c r="J284">
        <v>136</v>
      </c>
      <c r="K284">
        <v>2505120</v>
      </c>
      <c r="L284">
        <v>369645</v>
      </c>
      <c r="M284">
        <v>2135475</v>
      </c>
      <c r="N284">
        <v>1193536</v>
      </c>
      <c r="O284">
        <v>941939</v>
      </c>
      <c r="P284">
        <v>44.11</v>
      </c>
      <c r="Q284">
        <v>3</v>
      </c>
      <c r="R284">
        <v>49734</v>
      </c>
      <c r="S284">
        <v>3.45</v>
      </c>
      <c r="T284">
        <v>28</v>
      </c>
      <c r="U284">
        <v>4.55</v>
      </c>
      <c r="V284">
        <v>607590</v>
      </c>
      <c r="W284">
        <v>15458667</v>
      </c>
      <c r="X284">
        <v>25.44</v>
      </c>
      <c r="Y284" t="s">
        <v>29</v>
      </c>
    </row>
    <row r="285" spans="1:25" x14ac:dyDescent="0.3">
      <c r="A285" t="s">
        <v>602</v>
      </c>
      <c r="B285" t="s">
        <v>603</v>
      </c>
      <c r="C285" t="s">
        <v>42</v>
      </c>
      <c r="D285" s="1">
        <v>44992</v>
      </c>
      <c r="E285">
        <v>755</v>
      </c>
      <c r="F285" t="s">
        <v>28</v>
      </c>
      <c r="G285">
        <v>2707</v>
      </c>
      <c r="H285">
        <v>2336</v>
      </c>
      <c r="I285">
        <v>206</v>
      </c>
      <c r="J285">
        <v>310</v>
      </c>
      <c r="K285">
        <v>839170</v>
      </c>
      <c r="L285">
        <v>76291</v>
      </c>
      <c r="M285">
        <v>762879</v>
      </c>
      <c r="N285">
        <v>724160</v>
      </c>
      <c r="O285">
        <v>38719</v>
      </c>
      <c r="P285">
        <v>5.08</v>
      </c>
      <c r="Q285">
        <v>4</v>
      </c>
      <c r="R285">
        <v>9744</v>
      </c>
      <c r="S285">
        <v>1.94</v>
      </c>
      <c r="T285">
        <v>90</v>
      </c>
      <c r="U285">
        <v>3.07</v>
      </c>
      <c r="V285">
        <v>466007</v>
      </c>
      <c r="W285">
        <v>761813</v>
      </c>
      <c r="X285">
        <v>1.63</v>
      </c>
      <c r="Y285" t="s">
        <v>39</v>
      </c>
    </row>
    <row r="286" spans="1:25" x14ac:dyDescent="0.3">
      <c r="A286" t="s">
        <v>604</v>
      </c>
      <c r="B286" t="s">
        <v>605</v>
      </c>
      <c r="C286" t="s">
        <v>42</v>
      </c>
      <c r="D286" s="1">
        <v>45150</v>
      </c>
      <c r="E286">
        <v>597</v>
      </c>
      <c r="F286" t="s">
        <v>28</v>
      </c>
      <c r="G286">
        <v>3297</v>
      </c>
      <c r="H286">
        <v>2959</v>
      </c>
      <c r="I286">
        <v>84</v>
      </c>
      <c r="J286">
        <v>132</v>
      </c>
      <c r="K286">
        <v>435204</v>
      </c>
      <c r="L286">
        <v>39254</v>
      </c>
      <c r="M286">
        <v>395950</v>
      </c>
      <c r="N286">
        <v>390588</v>
      </c>
      <c r="O286">
        <v>5362</v>
      </c>
      <c r="P286">
        <v>1.35</v>
      </c>
      <c r="Q286">
        <v>6</v>
      </c>
      <c r="R286">
        <v>17802</v>
      </c>
      <c r="S286">
        <v>7.14</v>
      </c>
      <c r="T286">
        <v>36</v>
      </c>
      <c r="U286">
        <v>2.81</v>
      </c>
      <c r="V286">
        <v>405084</v>
      </c>
      <c r="W286">
        <v>1864591</v>
      </c>
      <c r="X286">
        <v>4.5999999999999996</v>
      </c>
      <c r="Y286" t="s">
        <v>39</v>
      </c>
    </row>
    <row r="287" spans="1:25" x14ac:dyDescent="0.3">
      <c r="A287" t="s">
        <v>606</v>
      </c>
      <c r="B287" t="s">
        <v>607</v>
      </c>
      <c r="C287" t="s">
        <v>42</v>
      </c>
      <c r="D287" s="1">
        <v>45252</v>
      </c>
      <c r="E287">
        <v>495</v>
      </c>
      <c r="F287" t="s">
        <v>28</v>
      </c>
      <c r="G287">
        <v>18550</v>
      </c>
      <c r="H287">
        <v>12064</v>
      </c>
      <c r="I287">
        <v>83</v>
      </c>
      <c r="J287">
        <v>125</v>
      </c>
      <c r="K287">
        <v>2318750</v>
      </c>
      <c r="L287">
        <v>312277</v>
      </c>
      <c r="M287">
        <v>2006473</v>
      </c>
      <c r="N287">
        <v>1508000</v>
      </c>
      <c r="O287">
        <v>498473</v>
      </c>
      <c r="P287">
        <v>24.84</v>
      </c>
      <c r="Q287">
        <v>6</v>
      </c>
      <c r="R287">
        <v>100170</v>
      </c>
      <c r="S287">
        <v>7.23</v>
      </c>
      <c r="T287">
        <v>45</v>
      </c>
      <c r="U287">
        <v>3.89</v>
      </c>
      <c r="V287">
        <v>597108</v>
      </c>
      <c r="W287">
        <v>19382525</v>
      </c>
      <c r="X287">
        <v>32.46</v>
      </c>
      <c r="Y287" t="s">
        <v>39</v>
      </c>
    </row>
    <row r="288" spans="1:25" x14ac:dyDescent="0.3">
      <c r="A288" t="s">
        <v>608</v>
      </c>
      <c r="B288" t="s">
        <v>609</v>
      </c>
      <c r="C288" t="s">
        <v>42</v>
      </c>
      <c r="D288" s="1">
        <v>45258</v>
      </c>
      <c r="E288">
        <v>489</v>
      </c>
      <c r="F288" t="s">
        <v>28</v>
      </c>
      <c r="G288">
        <v>12922</v>
      </c>
      <c r="H288">
        <v>11558</v>
      </c>
      <c r="I288">
        <v>102</v>
      </c>
      <c r="J288">
        <v>149</v>
      </c>
      <c r="K288">
        <v>1925378</v>
      </c>
      <c r="L288">
        <v>237349</v>
      </c>
      <c r="M288">
        <v>1688029</v>
      </c>
      <c r="N288">
        <v>1722142</v>
      </c>
      <c r="O288">
        <v>-34113</v>
      </c>
      <c r="P288">
        <v>-2.02</v>
      </c>
      <c r="Q288">
        <v>7</v>
      </c>
      <c r="R288">
        <v>81403</v>
      </c>
      <c r="S288">
        <v>6.86</v>
      </c>
      <c r="T288">
        <v>36</v>
      </c>
      <c r="U288">
        <v>2.85</v>
      </c>
      <c r="V288">
        <v>121931</v>
      </c>
      <c r="W288">
        <v>514746</v>
      </c>
      <c r="X288">
        <v>4.22</v>
      </c>
      <c r="Y288" t="s">
        <v>39</v>
      </c>
    </row>
    <row r="289" spans="1:25" x14ac:dyDescent="0.3">
      <c r="A289" t="s">
        <v>610</v>
      </c>
      <c r="B289" t="s">
        <v>611</v>
      </c>
      <c r="C289" t="s">
        <v>42</v>
      </c>
      <c r="D289" s="1">
        <v>45110</v>
      </c>
      <c r="E289">
        <v>637</v>
      </c>
      <c r="F289" t="s">
        <v>28</v>
      </c>
      <c r="G289">
        <v>12774</v>
      </c>
      <c r="H289">
        <v>10522</v>
      </c>
      <c r="I289">
        <v>88</v>
      </c>
      <c r="J289">
        <v>131</v>
      </c>
      <c r="K289">
        <v>1673394</v>
      </c>
      <c r="L289">
        <v>183881</v>
      </c>
      <c r="M289">
        <v>1489513</v>
      </c>
      <c r="N289">
        <v>1378382</v>
      </c>
      <c r="O289">
        <v>111131</v>
      </c>
      <c r="P289">
        <v>7.46</v>
      </c>
      <c r="Q289">
        <v>3</v>
      </c>
      <c r="R289">
        <v>34488</v>
      </c>
      <c r="S289">
        <v>3.41</v>
      </c>
      <c r="T289">
        <v>32</v>
      </c>
      <c r="U289">
        <v>3.38</v>
      </c>
      <c r="V289">
        <v>99894</v>
      </c>
      <c r="W289">
        <v>1652636</v>
      </c>
      <c r="X289">
        <v>16.54</v>
      </c>
      <c r="Y289" t="s">
        <v>39</v>
      </c>
    </row>
    <row r="290" spans="1:25" x14ac:dyDescent="0.3">
      <c r="A290" t="s">
        <v>612</v>
      </c>
      <c r="B290" t="s">
        <v>613</v>
      </c>
      <c r="C290" t="s">
        <v>42</v>
      </c>
      <c r="D290" s="1">
        <v>45087</v>
      </c>
      <c r="E290">
        <v>660</v>
      </c>
      <c r="F290" t="s">
        <v>28</v>
      </c>
      <c r="G290">
        <v>2819</v>
      </c>
      <c r="H290">
        <v>2078</v>
      </c>
      <c r="I290">
        <v>141</v>
      </c>
      <c r="J290">
        <v>215</v>
      </c>
      <c r="K290">
        <v>606085</v>
      </c>
      <c r="L290">
        <v>113293</v>
      </c>
      <c r="M290">
        <v>492792</v>
      </c>
      <c r="N290">
        <v>446770</v>
      </c>
      <c r="O290">
        <v>46022</v>
      </c>
      <c r="P290">
        <v>9.34</v>
      </c>
      <c r="Q290">
        <v>7</v>
      </c>
      <c r="R290">
        <v>17759</v>
      </c>
      <c r="S290">
        <v>4.96</v>
      </c>
      <c r="T290">
        <v>47</v>
      </c>
      <c r="U290">
        <v>3.33</v>
      </c>
      <c r="V290">
        <v>172951</v>
      </c>
      <c r="W290">
        <v>575217</v>
      </c>
      <c r="X290">
        <v>3.33</v>
      </c>
      <c r="Y290" t="s">
        <v>39</v>
      </c>
    </row>
    <row r="291" spans="1:25" x14ac:dyDescent="0.3">
      <c r="A291" t="s">
        <v>614</v>
      </c>
      <c r="B291" t="s">
        <v>615</v>
      </c>
      <c r="C291" t="s">
        <v>42</v>
      </c>
      <c r="D291" s="1">
        <v>45175</v>
      </c>
      <c r="E291">
        <v>572</v>
      </c>
      <c r="F291" t="s">
        <v>28</v>
      </c>
      <c r="G291">
        <v>520</v>
      </c>
      <c r="H291">
        <v>245</v>
      </c>
      <c r="I291">
        <v>197</v>
      </c>
      <c r="J291">
        <v>292</v>
      </c>
      <c r="K291">
        <v>151840</v>
      </c>
      <c r="L291">
        <v>27494</v>
      </c>
      <c r="M291">
        <v>124346</v>
      </c>
      <c r="N291">
        <v>71540</v>
      </c>
      <c r="O291">
        <v>52806</v>
      </c>
      <c r="P291">
        <v>42.47</v>
      </c>
      <c r="Q291">
        <v>26</v>
      </c>
      <c r="R291">
        <v>12168</v>
      </c>
      <c r="S291">
        <v>13.2</v>
      </c>
      <c r="T291">
        <v>82</v>
      </c>
      <c r="U291">
        <v>4.57</v>
      </c>
      <c r="V291">
        <v>613776</v>
      </c>
      <c r="W291">
        <v>407416</v>
      </c>
      <c r="X291">
        <v>0.66</v>
      </c>
      <c r="Y291" t="s">
        <v>39</v>
      </c>
    </row>
    <row r="292" spans="1:25" x14ac:dyDescent="0.3">
      <c r="A292" t="s">
        <v>616</v>
      </c>
      <c r="B292" t="s">
        <v>617</v>
      </c>
      <c r="C292" t="s">
        <v>42</v>
      </c>
      <c r="D292" s="1">
        <v>45452</v>
      </c>
      <c r="E292">
        <v>295</v>
      </c>
      <c r="F292" t="s">
        <v>28</v>
      </c>
      <c r="G292">
        <v>4759</v>
      </c>
      <c r="H292">
        <v>3639</v>
      </c>
      <c r="I292">
        <v>172</v>
      </c>
      <c r="J292">
        <v>249</v>
      </c>
      <c r="K292">
        <v>1184991</v>
      </c>
      <c r="L292">
        <v>198725</v>
      </c>
      <c r="M292">
        <v>986266</v>
      </c>
      <c r="N292">
        <v>906111</v>
      </c>
      <c r="O292">
        <v>80155</v>
      </c>
      <c r="P292">
        <v>8.1300000000000008</v>
      </c>
      <c r="Q292">
        <v>6</v>
      </c>
      <c r="R292">
        <v>25698</v>
      </c>
      <c r="S292">
        <v>3.49</v>
      </c>
      <c r="T292">
        <v>61</v>
      </c>
      <c r="U292">
        <v>3.5</v>
      </c>
      <c r="V292">
        <v>289984</v>
      </c>
      <c r="W292">
        <v>1402708</v>
      </c>
      <c r="X292">
        <v>4.84</v>
      </c>
      <c r="Y292" t="s">
        <v>39</v>
      </c>
    </row>
    <row r="293" spans="1:25" x14ac:dyDescent="0.3">
      <c r="A293" t="s">
        <v>618</v>
      </c>
      <c r="B293" t="s">
        <v>619</v>
      </c>
      <c r="C293" t="s">
        <v>42</v>
      </c>
      <c r="D293" s="1">
        <v>45635</v>
      </c>
      <c r="E293">
        <v>112</v>
      </c>
      <c r="F293" t="s">
        <v>28</v>
      </c>
      <c r="G293">
        <v>16388</v>
      </c>
      <c r="H293">
        <v>7612</v>
      </c>
      <c r="I293">
        <v>50</v>
      </c>
      <c r="J293">
        <v>79</v>
      </c>
      <c r="K293">
        <v>1294652</v>
      </c>
      <c r="L293">
        <v>204393</v>
      </c>
      <c r="M293">
        <v>1090259</v>
      </c>
      <c r="N293">
        <v>601348</v>
      </c>
      <c r="O293">
        <v>488911</v>
      </c>
      <c r="P293">
        <v>44.84</v>
      </c>
      <c r="Q293">
        <v>3</v>
      </c>
      <c r="R293">
        <v>44247</v>
      </c>
      <c r="S293">
        <v>6</v>
      </c>
      <c r="T293">
        <v>21</v>
      </c>
      <c r="U293">
        <v>4.6399999999999997</v>
      </c>
      <c r="V293">
        <v>660647</v>
      </c>
      <c r="W293">
        <v>13001378</v>
      </c>
      <c r="X293">
        <v>19.68</v>
      </c>
      <c r="Y293" t="s">
        <v>39</v>
      </c>
    </row>
    <row r="294" spans="1:25" x14ac:dyDescent="0.3">
      <c r="A294" t="s">
        <v>620</v>
      </c>
      <c r="B294" t="s">
        <v>621</v>
      </c>
      <c r="C294" t="s">
        <v>42</v>
      </c>
      <c r="D294" s="1">
        <v>45393</v>
      </c>
      <c r="E294">
        <v>354</v>
      </c>
      <c r="F294" t="s">
        <v>28</v>
      </c>
      <c r="G294">
        <v>6846</v>
      </c>
      <c r="H294">
        <v>4336</v>
      </c>
      <c r="I294">
        <v>49</v>
      </c>
      <c r="J294">
        <v>80</v>
      </c>
      <c r="K294">
        <v>547680</v>
      </c>
      <c r="L294">
        <v>68283</v>
      </c>
      <c r="M294">
        <v>479397</v>
      </c>
      <c r="N294">
        <v>346880</v>
      </c>
      <c r="O294">
        <v>132517</v>
      </c>
      <c r="P294">
        <v>27.64</v>
      </c>
      <c r="Q294">
        <v>1</v>
      </c>
      <c r="R294">
        <v>6161</v>
      </c>
      <c r="S294">
        <v>2.04</v>
      </c>
      <c r="T294">
        <v>21</v>
      </c>
      <c r="U294">
        <v>3.9</v>
      </c>
      <c r="V294">
        <v>119873</v>
      </c>
      <c r="W294">
        <v>582148</v>
      </c>
      <c r="X294">
        <v>4.8600000000000003</v>
      </c>
      <c r="Y294" t="s">
        <v>39</v>
      </c>
    </row>
    <row r="295" spans="1:25" x14ac:dyDescent="0.3">
      <c r="A295" t="s">
        <v>622</v>
      </c>
      <c r="B295" t="s">
        <v>623</v>
      </c>
      <c r="C295" t="s">
        <v>42</v>
      </c>
      <c r="D295" s="1">
        <v>45649</v>
      </c>
      <c r="E295">
        <v>98</v>
      </c>
      <c r="F295" t="s">
        <v>28</v>
      </c>
      <c r="G295">
        <v>2565</v>
      </c>
      <c r="H295">
        <v>1363</v>
      </c>
      <c r="I295">
        <v>200</v>
      </c>
      <c r="J295">
        <v>291</v>
      </c>
      <c r="K295">
        <v>746415</v>
      </c>
      <c r="L295">
        <v>92493</v>
      </c>
      <c r="M295">
        <v>653922</v>
      </c>
      <c r="N295">
        <v>396633</v>
      </c>
      <c r="O295">
        <v>257289</v>
      </c>
      <c r="P295">
        <v>39.35</v>
      </c>
      <c r="Q295">
        <v>10</v>
      </c>
      <c r="R295">
        <v>23080</v>
      </c>
      <c r="S295">
        <v>5</v>
      </c>
      <c r="T295">
        <v>76</v>
      </c>
      <c r="U295">
        <v>4.25</v>
      </c>
      <c r="V295">
        <v>157197</v>
      </c>
      <c r="W295">
        <v>853885</v>
      </c>
      <c r="X295">
        <v>5.43</v>
      </c>
      <c r="Y295" t="s">
        <v>39</v>
      </c>
    </row>
    <row r="296" spans="1:25" x14ac:dyDescent="0.3">
      <c r="A296" t="s">
        <v>624</v>
      </c>
      <c r="B296" t="s">
        <v>625</v>
      </c>
      <c r="C296" t="s">
        <v>42</v>
      </c>
      <c r="D296" s="1">
        <v>44910</v>
      </c>
      <c r="E296">
        <v>837</v>
      </c>
      <c r="F296" t="s">
        <v>28</v>
      </c>
      <c r="G296">
        <v>14164</v>
      </c>
      <c r="H296">
        <v>7718</v>
      </c>
      <c r="I296">
        <v>81</v>
      </c>
      <c r="J296">
        <v>117</v>
      </c>
      <c r="K296">
        <v>1657188</v>
      </c>
      <c r="L296">
        <v>172119</v>
      </c>
      <c r="M296">
        <v>1485069</v>
      </c>
      <c r="N296">
        <v>903006</v>
      </c>
      <c r="O296">
        <v>582063</v>
      </c>
      <c r="P296">
        <v>39.19</v>
      </c>
      <c r="Q296">
        <v>7</v>
      </c>
      <c r="R296">
        <v>89229</v>
      </c>
      <c r="S296">
        <v>8.64</v>
      </c>
      <c r="T296">
        <v>30</v>
      </c>
      <c r="U296">
        <v>4.22</v>
      </c>
      <c r="V296">
        <v>184301</v>
      </c>
      <c r="W296">
        <v>3692881</v>
      </c>
      <c r="X296">
        <v>20.04</v>
      </c>
      <c r="Y296" t="s">
        <v>39</v>
      </c>
    </row>
    <row r="297" spans="1:25" x14ac:dyDescent="0.3">
      <c r="A297" t="s">
        <v>626</v>
      </c>
      <c r="B297" t="s">
        <v>627</v>
      </c>
      <c r="C297" t="s">
        <v>42</v>
      </c>
      <c r="D297" s="1">
        <v>45203</v>
      </c>
      <c r="E297">
        <v>544</v>
      </c>
      <c r="F297" t="s">
        <v>28</v>
      </c>
      <c r="G297">
        <v>18113</v>
      </c>
      <c r="H297">
        <v>16002</v>
      </c>
      <c r="I297">
        <v>72</v>
      </c>
      <c r="J297">
        <v>109</v>
      </c>
      <c r="K297">
        <v>1974317</v>
      </c>
      <c r="L297">
        <v>309942</v>
      </c>
      <c r="M297">
        <v>1664375</v>
      </c>
      <c r="N297">
        <v>1744218</v>
      </c>
      <c r="O297">
        <v>-79843</v>
      </c>
      <c r="P297">
        <v>-4.8</v>
      </c>
      <c r="Q297">
        <v>2</v>
      </c>
      <c r="R297">
        <v>32602</v>
      </c>
      <c r="S297">
        <v>2.78</v>
      </c>
      <c r="T297">
        <v>29</v>
      </c>
      <c r="U297">
        <v>2.93</v>
      </c>
      <c r="V297">
        <v>285616</v>
      </c>
      <c r="W297">
        <v>1593384</v>
      </c>
      <c r="X297">
        <v>5.58</v>
      </c>
      <c r="Y297" t="s">
        <v>39</v>
      </c>
    </row>
    <row r="298" spans="1:25" x14ac:dyDescent="0.3">
      <c r="A298" t="s">
        <v>628</v>
      </c>
      <c r="B298" t="s">
        <v>629</v>
      </c>
      <c r="C298" t="s">
        <v>42</v>
      </c>
      <c r="D298" s="1">
        <v>45462</v>
      </c>
      <c r="E298">
        <v>285</v>
      </c>
      <c r="F298" t="s">
        <v>28</v>
      </c>
      <c r="G298">
        <v>11931</v>
      </c>
      <c r="H298">
        <v>9844</v>
      </c>
      <c r="I298">
        <v>64</v>
      </c>
      <c r="J298">
        <v>95</v>
      </c>
      <c r="K298">
        <v>1133445</v>
      </c>
      <c r="L298">
        <v>159613</v>
      </c>
      <c r="M298">
        <v>973832</v>
      </c>
      <c r="N298">
        <v>935180</v>
      </c>
      <c r="O298">
        <v>38652</v>
      </c>
      <c r="P298">
        <v>3.97</v>
      </c>
      <c r="Q298">
        <v>4</v>
      </c>
      <c r="R298">
        <v>42948</v>
      </c>
      <c r="S298">
        <v>6.25</v>
      </c>
      <c r="T298">
        <v>27</v>
      </c>
      <c r="U298">
        <v>3.54</v>
      </c>
      <c r="V298">
        <v>284925</v>
      </c>
      <c r="W298">
        <v>2977721</v>
      </c>
      <c r="X298">
        <v>10.45</v>
      </c>
      <c r="Y298" t="s">
        <v>39</v>
      </c>
    </row>
    <row r="299" spans="1:25" x14ac:dyDescent="0.3">
      <c r="A299" t="s">
        <v>630</v>
      </c>
      <c r="B299" t="s">
        <v>631</v>
      </c>
      <c r="C299" t="s">
        <v>42</v>
      </c>
      <c r="D299" s="1">
        <v>44935</v>
      </c>
      <c r="E299">
        <v>812</v>
      </c>
      <c r="F299" t="s">
        <v>28</v>
      </c>
      <c r="G299">
        <v>14404</v>
      </c>
      <c r="H299">
        <v>12276</v>
      </c>
      <c r="I299">
        <v>50</v>
      </c>
      <c r="J299">
        <v>79</v>
      </c>
      <c r="K299">
        <v>1137916</v>
      </c>
      <c r="L299">
        <v>207851</v>
      </c>
      <c r="M299">
        <v>930065</v>
      </c>
      <c r="N299">
        <v>969804</v>
      </c>
      <c r="O299">
        <v>-39739</v>
      </c>
      <c r="P299">
        <v>-4.2699999999999996</v>
      </c>
      <c r="Q299">
        <v>1</v>
      </c>
      <c r="R299">
        <v>12963</v>
      </c>
      <c r="S299">
        <v>2</v>
      </c>
      <c r="T299">
        <v>18</v>
      </c>
      <c r="U299">
        <v>3.14</v>
      </c>
      <c r="V299">
        <v>140953</v>
      </c>
      <c r="W299">
        <v>3184544</v>
      </c>
      <c r="X299">
        <v>22.59</v>
      </c>
      <c r="Y299" t="s">
        <v>39</v>
      </c>
    </row>
    <row r="300" spans="1:25" x14ac:dyDescent="0.3">
      <c r="A300" t="s">
        <v>632</v>
      </c>
      <c r="B300" t="s">
        <v>633</v>
      </c>
      <c r="C300" t="s">
        <v>42</v>
      </c>
      <c r="D300" s="1">
        <v>45309</v>
      </c>
      <c r="E300">
        <v>438</v>
      </c>
      <c r="F300" t="s">
        <v>28</v>
      </c>
      <c r="G300">
        <v>14906</v>
      </c>
      <c r="H300">
        <v>10905</v>
      </c>
      <c r="I300">
        <v>34</v>
      </c>
      <c r="J300">
        <v>51</v>
      </c>
      <c r="K300">
        <v>760206</v>
      </c>
      <c r="L300">
        <v>108299</v>
      </c>
      <c r="M300">
        <v>651907</v>
      </c>
      <c r="N300">
        <v>556155</v>
      </c>
      <c r="O300">
        <v>95752</v>
      </c>
      <c r="P300">
        <v>14.69</v>
      </c>
      <c r="Q300">
        <v>2</v>
      </c>
      <c r="R300">
        <v>26830</v>
      </c>
      <c r="S300">
        <v>5.88</v>
      </c>
      <c r="T300">
        <v>15</v>
      </c>
      <c r="U300">
        <v>3.67</v>
      </c>
      <c r="V300">
        <v>153451</v>
      </c>
      <c r="W300">
        <v>2351252</v>
      </c>
      <c r="X300">
        <v>15.32</v>
      </c>
      <c r="Y300" t="s">
        <v>39</v>
      </c>
    </row>
    <row r="301" spans="1:25" x14ac:dyDescent="0.3">
      <c r="A301" t="s">
        <v>634</v>
      </c>
      <c r="B301" t="s">
        <v>635</v>
      </c>
      <c r="C301" t="s">
        <v>42</v>
      </c>
      <c r="D301" s="1">
        <v>44922</v>
      </c>
      <c r="E301">
        <v>825</v>
      </c>
      <c r="F301" t="s">
        <v>28</v>
      </c>
      <c r="G301">
        <v>3724</v>
      </c>
      <c r="H301">
        <v>2856</v>
      </c>
      <c r="I301">
        <v>103</v>
      </c>
      <c r="J301">
        <v>154</v>
      </c>
      <c r="K301">
        <v>573496</v>
      </c>
      <c r="L301">
        <v>91350</v>
      </c>
      <c r="M301">
        <v>482146</v>
      </c>
      <c r="N301">
        <v>439824</v>
      </c>
      <c r="O301">
        <v>42322</v>
      </c>
      <c r="P301">
        <v>8.7799999999999994</v>
      </c>
      <c r="Q301">
        <v>10</v>
      </c>
      <c r="R301">
        <v>33510</v>
      </c>
      <c r="S301">
        <v>9.7100000000000009</v>
      </c>
      <c r="T301">
        <v>44</v>
      </c>
      <c r="U301">
        <v>3.36</v>
      </c>
      <c r="V301">
        <v>774871</v>
      </c>
      <c r="W301">
        <v>3241192</v>
      </c>
      <c r="X301">
        <v>4.18</v>
      </c>
      <c r="Y301" t="s">
        <v>39</v>
      </c>
    </row>
    <row r="302" spans="1:25" x14ac:dyDescent="0.3">
      <c r="A302" t="s">
        <v>636</v>
      </c>
      <c r="B302" t="s">
        <v>637</v>
      </c>
      <c r="C302" t="s">
        <v>42</v>
      </c>
      <c r="D302" s="1">
        <v>45322</v>
      </c>
      <c r="E302">
        <v>425</v>
      </c>
      <c r="F302" t="s">
        <v>28</v>
      </c>
      <c r="G302">
        <v>17374</v>
      </c>
      <c r="H302">
        <v>11860</v>
      </c>
      <c r="I302">
        <v>83</v>
      </c>
      <c r="J302">
        <v>127</v>
      </c>
      <c r="K302">
        <v>2206498</v>
      </c>
      <c r="L302">
        <v>400219</v>
      </c>
      <c r="M302">
        <v>1806279</v>
      </c>
      <c r="N302">
        <v>1506220</v>
      </c>
      <c r="O302">
        <v>300059</v>
      </c>
      <c r="P302">
        <v>16.61</v>
      </c>
      <c r="Q302">
        <v>6</v>
      </c>
      <c r="R302">
        <v>93816</v>
      </c>
      <c r="S302">
        <v>7.23</v>
      </c>
      <c r="T302">
        <v>28</v>
      </c>
      <c r="U302">
        <v>3.75</v>
      </c>
      <c r="V302">
        <v>484869</v>
      </c>
      <c r="W302">
        <v>10995849</v>
      </c>
      <c r="X302">
        <v>22.68</v>
      </c>
      <c r="Y302" t="s">
        <v>39</v>
      </c>
    </row>
    <row r="303" spans="1:25" x14ac:dyDescent="0.3">
      <c r="A303" t="s">
        <v>638</v>
      </c>
      <c r="B303" t="s">
        <v>639</v>
      </c>
      <c r="C303" t="s">
        <v>42</v>
      </c>
      <c r="D303" s="1">
        <v>45498</v>
      </c>
      <c r="E303">
        <v>249</v>
      </c>
      <c r="F303" t="s">
        <v>28</v>
      </c>
      <c r="G303">
        <v>1039</v>
      </c>
      <c r="H303">
        <v>538</v>
      </c>
      <c r="I303">
        <v>171</v>
      </c>
      <c r="J303">
        <v>270</v>
      </c>
      <c r="K303">
        <v>280530</v>
      </c>
      <c r="L303">
        <v>35363</v>
      </c>
      <c r="M303">
        <v>245167</v>
      </c>
      <c r="N303">
        <v>145260</v>
      </c>
      <c r="O303">
        <v>99907</v>
      </c>
      <c r="P303">
        <v>40.75</v>
      </c>
      <c r="Q303">
        <v>15</v>
      </c>
      <c r="R303">
        <v>14025</v>
      </c>
      <c r="S303">
        <v>8.77</v>
      </c>
      <c r="T303">
        <v>57</v>
      </c>
      <c r="U303">
        <v>4.46</v>
      </c>
      <c r="V303">
        <v>684314</v>
      </c>
      <c r="W303">
        <v>399541</v>
      </c>
      <c r="X303">
        <v>0.57999999999999996</v>
      </c>
      <c r="Y303" t="s">
        <v>39</v>
      </c>
    </row>
    <row r="304" spans="1:25" x14ac:dyDescent="0.3">
      <c r="A304" t="s">
        <v>640</v>
      </c>
      <c r="B304" t="s">
        <v>641</v>
      </c>
      <c r="C304" t="s">
        <v>42</v>
      </c>
      <c r="D304" s="1">
        <v>45408</v>
      </c>
      <c r="E304">
        <v>339</v>
      </c>
      <c r="F304" t="s">
        <v>28</v>
      </c>
      <c r="G304">
        <v>18383</v>
      </c>
      <c r="H304">
        <v>15220</v>
      </c>
      <c r="I304">
        <v>58</v>
      </c>
      <c r="J304">
        <v>89</v>
      </c>
      <c r="K304">
        <v>1636087</v>
      </c>
      <c r="L304">
        <v>191832</v>
      </c>
      <c r="M304">
        <v>1444255</v>
      </c>
      <c r="N304">
        <v>1354580</v>
      </c>
      <c r="O304">
        <v>89675</v>
      </c>
      <c r="P304">
        <v>6.21</v>
      </c>
      <c r="Q304">
        <v>1</v>
      </c>
      <c r="R304">
        <v>16544</v>
      </c>
      <c r="S304">
        <v>1.72</v>
      </c>
      <c r="T304">
        <v>26</v>
      </c>
      <c r="U304">
        <v>3.12</v>
      </c>
      <c r="V304">
        <v>119661</v>
      </c>
      <c r="W304">
        <v>2218291</v>
      </c>
      <c r="X304">
        <v>18.54</v>
      </c>
      <c r="Y304" t="s">
        <v>39</v>
      </c>
    </row>
    <row r="305" spans="1:25" x14ac:dyDescent="0.3">
      <c r="A305" t="s">
        <v>642</v>
      </c>
      <c r="B305" t="s">
        <v>643</v>
      </c>
      <c r="C305" t="s">
        <v>42</v>
      </c>
      <c r="D305" s="1">
        <v>45463</v>
      </c>
      <c r="E305">
        <v>284</v>
      </c>
      <c r="F305" t="s">
        <v>28</v>
      </c>
      <c r="G305">
        <v>13261</v>
      </c>
      <c r="H305">
        <v>11760</v>
      </c>
      <c r="I305">
        <v>44</v>
      </c>
      <c r="J305">
        <v>66</v>
      </c>
      <c r="K305">
        <v>875226</v>
      </c>
      <c r="L305">
        <v>136053</v>
      </c>
      <c r="M305">
        <v>739173</v>
      </c>
      <c r="N305">
        <v>776160</v>
      </c>
      <c r="O305">
        <v>-36987</v>
      </c>
      <c r="P305">
        <v>-5</v>
      </c>
      <c r="Q305">
        <v>2</v>
      </c>
      <c r="R305">
        <v>23868</v>
      </c>
      <c r="S305">
        <v>4.55</v>
      </c>
      <c r="T305">
        <v>22</v>
      </c>
      <c r="U305">
        <v>2.95</v>
      </c>
      <c r="V305">
        <v>391682</v>
      </c>
      <c r="W305">
        <v>6248446</v>
      </c>
      <c r="X305">
        <v>15.95</v>
      </c>
      <c r="Y305" t="s">
        <v>39</v>
      </c>
    </row>
    <row r="306" spans="1:25" x14ac:dyDescent="0.3">
      <c r="A306" t="s">
        <v>644</v>
      </c>
      <c r="B306" t="s">
        <v>645</v>
      </c>
      <c r="C306" t="s">
        <v>42</v>
      </c>
      <c r="D306" s="1">
        <v>45650</v>
      </c>
      <c r="E306">
        <v>97</v>
      </c>
      <c r="F306" t="s">
        <v>28</v>
      </c>
      <c r="G306">
        <v>9419</v>
      </c>
      <c r="H306">
        <v>5288</v>
      </c>
      <c r="I306">
        <v>58</v>
      </c>
      <c r="J306">
        <v>87</v>
      </c>
      <c r="K306">
        <v>819453</v>
      </c>
      <c r="L306">
        <v>121926</v>
      </c>
      <c r="M306">
        <v>697527</v>
      </c>
      <c r="N306">
        <v>460056</v>
      </c>
      <c r="O306">
        <v>237471</v>
      </c>
      <c r="P306">
        <v>34.04</v>
      </c>
      <c r="Q306">
        <v>5</v>
      </c>
      <c r="R306">
        <v>42385</v>
      </c>
      <c r="S306">
        <v>8.6199999999999992</v>
      </c>
      <c r="T306">
        <v>28</v>
      </c>
      <c r="U306">
        <v>4.2300000000000004</v>
      </c>
      <c r="V306">
        <v>677321</v>
      </c>
      <c r="W306">
        <v>6322024</v>
      </c>
      <c r="X306">
        <v>9.33</v>
      </c>
      <c r="Y306" t="s">
        <v>39</v>
      </c>
    </row>
    <row r="307" spans="1:25" x14ac:dyDescent="0.3">
      <c r="A307" t="s">
        <v>646</v>
      </c>
      <c r="B307" t="s">
        <v>647</v>
      </c>
      <c r="C307" t="s">
        <v>42</v>
      </c>
      <c r="D307" s="1">
        <v>45521</v>
      </c>
      <c r="E307">
        <v>226</v>
      </c>
      <c r="F307" t="s">
        <v>28</v>
      </c>
      <c r="G307">
        <v>15292</v>
      </c>
      <c r="H307">
        <v>12978</v>
      </c>
      <c r="I307">
        <v>46</v>
      </c>
      <c r="J307">
        <v>67</v>
      </c>
      <c r="K307">
        <v>1024564</v>
      </c>
      <c r="L307">
        <v>139632</v>
      </c>
      <c r="M307">
        <v>884932</v>
      </c>
      <c r="N307">
        <v>869526</v>
      </c>
      <c r="O307">
        <v>15406</v>
      </c>
      <c r="P307">
        <v>1.74</v>
      </c>
      <c r="Q307">
        <v>6</v>
      </c>
      <c r="R307">
        <v>82572</v>
      </c>
      <c r="S307">
        <v>13.04</v>
      </c>
      <c r="T307">
        <v>14</v>
      </c>
      <c r="U307">
        <v>3</v>
      </c>
      <c r="V307">
        <v>372776</v>
      </c>
      <c r="W307">
        <v>5416364</v>
      </c>
      <c r="X307">
        <v>14.53</v>
      </c>
      <c r="Y307" t="s">
        <v>39</v>
      </c>
    </row>
    <row r="308" spans="1:25" x14ac:dyDescent="0.3">
      <c r="A308" t="s">
        <v>648</v>
      </c>
      <c r="B308" t="s">
        <v>649</v>
      </c>
      <c r="C308" t="s">
        <v>42</v>
      </c>
      <c r="D308" s="1">
        <v>45195</v>
      </c>
      <c r="E308">
        <v>552</v>
      </c>
      <c r="F308" t="s">
        <v>28</v>
      </c>
      <c r="G308">
        <v>19533</v>
      </c>
      <c r="H308">
        <v>16575</v>
      </c>
      <c r="I308">
        <v>40</v>
      </c>
      <c r="J308">
        <v>57</v>
      </c>
      <c r="K308">
        <v>1113381</v>
      </c>
      <c r="L308">
        <v>119791</v>
      </c>
      <c r="M308">
        <v>993590</v>
      </c>
      <c r="N308">
        <v>944775</v>
      </c>
      <c r="O308">
        <v>48815</v>
      </c>
      <c r="P308">
        <v>4.91</v>
      </c>
      <c r="Q308">
        <v>1</v>
      </c>
      <c r="R308">
        <v>17579</v>
      </c>
      <c r="S308">
        <v>2.5</v>
      </c>
      <c r="T308">
        <v>12</v>
      </c>
      <c r="U308">
        <v>3.38</v>
      </c>
      <c r="V308">
        <v>666332</v>
      </c>
      <c r="W308">
        <v>12382228</v>
      </c>
      <c r="X308">
        <v>18.579999999999998</v>
      </c>
      <c r="Y308" t="s">
        <v>39</v>
      </c>
    </row>
    <row r="309" spans="1:25" x14ac:dyDescent="0.3">
      <c r="A309" t="s">
        <v>650</v>
      </c>
      <c r="B309" t="s">
        <v>651</v>
      </c>
      <c r="C309" t="s">
        <v>42</v>
      </c>
      <c r="D309" s="1">
        <v>44972</v>
      </c>
      <c r="E309">
        <v>775</v>
      </c>
      <c r="F309" t="s">
        <v>28</v>
      </c>
      <c r="G309">
        <v>19637</v>
      </c>
      <c r="H309">
        <v>16924</v>
      </c>
      <c r="I309">
        <v>84</v>
      </c>
      <c r="J309">
        <v>121</v>
      </c>
      <c r="K309">
        <v>2376077</v>
      </c>
      <c r="L309">
        <v>234671</v>
      </c>
      <c r="M309">
        <v>2141406</v>
      </c>
      <c r="N309">
        <v>2047804</v>
      </c>
      <c r="O309">
        <v>93602</v>
      </c>
      <c r="P309">
        <v>4.37</v>
      </c>
      <c r="Q309">
        <v>2</v>
      </c>
      <c r="R309">
        <v>35346</v>
      </c>
      <c r="S309">
        <v>2.38</v>
      </c>
      <c r="T309">
        <v>31</v>
      </c>
      <c r="U309">
        <v>3.02</v>
      </c>
      <c r="V309">
        <v>290970</v>
      </c>
      <c r="W309">
        <v>6243014</v>
      </c>
      <c r="X309">
        <v>21.46</v>
      </c>
      <c r="Y309" t="s">
        <v>39</v>
      </c>
    </row>
    <row r="310" spans="1:25" x14ac:dyDescent="0.3">
      <c r="A310" t="s">
        <v>652</v>
      </c>
      <c r="B310" t="s">
        <v>653</v>
      </c>
      <c r="C310" t="s">
        <v>42</v>
      </c>
      <c r="D310" s="1">
        <v>44976</v>
      </c>
      <c r="E310">
        <v>771</v>
      </c>
      <c r="F310" t="s">
        <v>28</v>
      </c>
      <c r="G310">
        <v>13028</v>
      </c>
      <c r="H310">
        <v>9273</v>
      </c>
      <c r="I310">
        <v>65</v>
      </c>
      <c r="J310">
        <v>99</v>
      </c>
      <c r="K310">
        <v>1289772</v>
      </c>
      <c r="L310">
        <v>184634</v>
      </c>
      <c r="M310">
        <v>1105138</v>
      </c>
      <c r="N310">
        <v>918027</v>
      </c>
      <c r="O310">
        <v>187111</v>
      </c>
      <c r="P310">
        <v>16.93</v>
      </c>
      <c r="Q310">
        <v>6</v>
      </c>
      <c r="R310">
        <v>70350</v>
      </c>
      <c r="S310">
        <v>9.23</v>
      </c>
      <c r="T310">
        <v>21</v>
      </c>
      <c r="U310">
        <v>3.79</v>
      </c>
      <c r="V310">
        <v>351400</v>
      </c>
      <c r="W310">
        <v>5167756</v>
      </c>
      <c r="X310">
        <v>14.71</v>
      </c>
      <c r="Y310" t="s">
        <v>39</v>
      </c>
    </row>
    <row r="311" spans="1:25" x14ac:dyDescent="0.3">
      <c r="A311" t="s">
        <v>654</v>
      </c>
      <c r="B311" t="s">
        <v>655</v>
      </c>
      <c r="C311" t="s">
        <v>42</v>
      </c>
      <c r="D311" s="1">
        <v>45130</v>
      </c>
      <c r="E311">
        <v>617</v>
      </c>
      <c r="F311" t="s">
        <v>28</v>
      </c>
      <c r="G311">
        <v>18482</v>
      </c>
      <c r="H311">
        <v>15245</v>
      </c>
      <c r="I311">
        <v>43</v>
      </c>
      <c r="J311">
        <v>66</v>
      </c>
      <c r="K311">
        <v>1219812</v>
      </c>
      <c r="L311">
        <v>213384</v>
      </c>
      <c r="M311">
        <v>1006428</v>
      </c>
      <c r="N311">
        <v>1006170</v>
      </c>
      <c r="O311">
        <v>258</v>
      </c>
      <c r="P311">
        <v>0.03</v>
      </c>
      <c r="Q311">
        <v>5</v>
      </c>
      <c r="R311">
        <v>83165</v>
      </c>
      <c r="S311">
        <v>11.63</v>
      </c>
      <c r="T311">
        <v>11</v>
      </c>
      <c r="U311">
        <v>3.23</v>
      </c>
      <c r="V311">
        <v>221287</v>
      </c>
      <c r="W311">
        <v>8428955</v>
      </c>
      <c r="X311">
        <v>38.090000000000003</v>
      </c>
      <c r="Y311" t="s">
        <v>39</v>
      </c>
    </row>
    <row r="312" spans="1:25" x14ac:dyDescent="0.3">
      <c r="A312" t="s">
        <v>656</v>
      </c>
      <c r="B312" t="s">
        <v>657</v>
      </c>
      <c r="C312" t="s">
        <v>658</v>
      </c>
      <c r="D312" s="1">
        <v>45228</v>
      </c>
      <c r="E312">
        <v>519</v>
      </c>
      <c r="F312" t="s">
        <v>28</v>
      </c>
      <c r="G312">
        <v>16178</v>
      </c>
      <c r="H312">
        <v>13566</v>
      </c>
      <c r="I312">
        <v>92</v>
      </c>
      <c r="J312">
        <v>138</v>
      </c>
      <c r="K312">
        <v>2232564</v>
      </c>
      <c r="L312">
        <v>354930</v>
      </c>
      <c r="M312">
        <v>1877634</v>
      </c>
      <c r="N312">
        <v>1872108</v>
      </c>
      <c r="O312">
        <v>5526</v>
      </c>
      <c r="P312">
        <v>0.28999999999999998</v>
      </c>
      <c r="Q312">
        <v>5</v>
      </c>
      <c r="R312">
        <v>72800</v>
      </c>
      <c r="S312">
        <v>5.43</v>
      </c>
      <c r="T312">
        <v>38</v>
      </c>
      <c r="U312">
        <v>3.36</v>
      </c>
      <c r="V312">
        <v>99039</v>
      </c>
      <c r="W312">
        <v>2849828</v>
      </c>
      <c r="X312">
        <v>28.77</v>
      </c>
      <c r="Y312" t="s">
        <v>39</v>
      </c>
    </row>
    <row r="313" spans="1:25" x14ac:dyDescent="0.3">
      <c r="A313" t="s">
        <v>659</v>
      </c>
      <c r="B313" t="s">
        <v>660</v>
      </c>
      <c r="C313" t="s">
        <v>658</v>
      </c>
      <c r="D313" s="1">
        <v>45413</v>
      </c>
      <c r="E313">
        <v>334</v>
      </c>
      <c r="F313" t="s">
        <v>28</v>
      </c>
      <c r="G313">
        <v>16312</v>
      </c>
      <c r="H313">
        <v>13453</v>
      </c>
      <c r="I313">
        <v>87</v>
      </c>
      <c r="J313">
        <v>132</v>
      </c>
      <c r="K313">
        <v>2153184</v>
      </c>
      <c r="L313">
        <v>286483</v>
      </c>
      <c r="M313">
        <v>1866701</v>
      </c>
      <c r="N313">
        <v>1775796</v>
      </c>
      <c r="O313">
        <v>90905</v>
      </c>
      <c r="P313">
        <v>4.87</v>
      </c>
      <c r="Q313">
        <v>2</v>
      </c>
      <c r="R313">
        <v>29360</v>
      </c>
      <c r="S313">
        <v>2.2999999999999998</v>
      </c>
      <c r="T313">
        <v>30</v>
      </c>
      <c r="U313">
        <v>3.13</v>
      </c>
      <c r="V313">
        <v>73046</v>
      </c>
      <c r="W313">
        <v>2028388</v>
      </c>
      <c r="X313">
        <v>27.77</v>
      </c>
      <c r="Y313" t="s">
        <v>39</v>
      </c>
    </row>
    <row r="314" spans="1:25" x14ac:dyDescent="0.3">
      <c r="A314" t="s">
        <v>661</v>
      </c>
      <c r="B314" t="s">
        <v>662</v>
      </c>
      <c r="C314" t="s">
        <v>658</v>
      </c>
      <c r="D314" s="1">
        <v>45414</v>
      </c>
      <c r="E314">
        <v>333</v>
      </c>
      <c r="F314" t="s">
        <v>28</v>
      </c>
      <c r="G314">
        <v>5810</v>
      </c>
      <c r="H314">
        <v>3187</v>
      </c>
      <c r="I314">
        <v>71</v>
      </c>
      <c r="J314">
        <v>101</v>
      </c>
      <c r="K314">
        <v>586810</v>
      </c>
      <c r="L314">
        <v>117214</v>
      </c>
      <c r="M314">
        <v>469596</v>
      </c>
      <c r="N314">
        <v>321887</v>
      </c>
      <c r="O314">
        <v>147709</v>
      </c>
      <c r="P314">
        <v>31.45</v>
      </c>
      <c r="Q314">
        <v>7</v>
      </c>
      <c r="R314">
        <v>36603</v>
      </c>
      <c r="S314">
        <v>9.86</v>
      </c>
      <c r="T314">
        <v>30</v>
      </c>
      <c r="U314">
        <v>4.42</v>
      </c>
      <c r="V314">
        <v>485642</v>
      </c>
      <c r="W314">
        <v>2314837</v>
      </c>
      <c r="X314">
        <v>4.7699999999999996</v>
      </c>
      <c r="Y314" t="s">
        <v>39</v>
      </c>
    </row>
    <row r="315" spans="1:25" x14ac:dyDescent="0.3">
      <c r="A315" t="s">
        <v>663</v>
      </c>
      <c r="B315" t="s">
        <v>664</v>
      </c>
      <c r="C315" t="s">
        <v>658</v>
      </c>
      <c r="D315" s="1">
        <v>45210</v>
      </c>
      <c r="E315">
        <v>537</v>
      </c>
      <c r="F315" t="s">
        <v>28</v>
      </c>
      <c r="G315">
        <v>18095</v>
      </c>
      <c r="H315">
        <v>9581</v>
      </c>
      <c r="I315">
        <v>78</v>
      </c>
      <c r="J315">
        <v>109</v>
      </c>
      <c r="K315">
        <v>1972355</v>
      </c>
      <c r="L315">
        <v>266846</v>
      </c>
      <c r="M315">
        <v>1705509</v>
      </c>
      <c r="N315">
        <v>1044329</v>
      </c>
      <c r="O315">
        <v>661180</v>
      </c>
      <c r="P315">
        <v>38.770000000000003</v>
      </c>
      <c r="Q315">
        <v>5</v>
      </c>
      <c r="R315">
        <v>81425</v>
      </c>
      <c r="S315">
        <v>6.41</v>
      </c>
      <c r="T315">
        <v>34</v>
      </c>
      <c r="U315">
        <v>4.16</v>
      </c>
      <c r="V315">
        <v>221153</v>
      </c>
      <c r="W315">
        <v>4754960</v>
      </c>
      <c r="X315">
        <v>21.5</v>
      </c>
      <c r="Y315" t="s">
        <v>39</v>
      </c>
    </row>
    <row r="316" spans="1:25" x14ac:dyDescent="0.3">
      <c r="A316" t="s">
        <v>665</v>
      </c>
      <c r="B316" t="s">
        <v>666</v>
      </c>
      <c r="C316" t="s">
        <v>658</v>
      </c>
      <c r="D316" s="1">
        <v>45504</v>
      </c>
      <c r="E316">
        <v>243</v>
      </c>
      <c r="F316" t="s">
        <v>28</v>
      </c>
      <c r="G316">
        <v>3654</v>
      </c>
      <c r="H316">
        <v>2078</v>
      </c>
      <c r="I316">
        <v>191</v>
      </c>
      <c r="J316">
        <v>267</v>
      </c>
      <c r="K316">
        <v>975618</v>
      </c>
      <c r="L316">
        <v>113993</v>
      </c>
      <c r="M316">
        <v>861625</v>
      </c>
      <c r="N316">
        <v>554826</v>
      </c>
      <c r="O316">
        <v>306799</v>
      </c>
      <c r="P316">
        <v>35.61</v>
      </c>
      <c r="Q316">
        <v>22</v>
      </c>
      <c r="R316">
        <v>72336</v>
      </c>
      <c r="S316">
        <v>11.52</v>
      </c>
      <c r="T316">
        <v>80</v>
      </c>
      <c r="U316">
        <v>4.32</v>
      </c>
      <c r="V316">
        <v>560392</v>
      </c>
      <c r="W316">
        <v>2460816</v>
      </c>
      <c r="X316">
        <v>4.3899999999999997</v>
      </c>
      <c r="Y316" t="s">
        <v>39</v>
      </c>
    </row>
    <row r="317" spans="1:25" x14ac:dyDescent="0.3">
      <c r="A317" t="s">
        <v>667</v>
      </c>
      <c r="B317" t="s">
        <v>668</v>
      </c>
      <c r="C317" t="s">
        <v>658</v>
      </c>
      <c r="D317" s="1">
        <v>44955</v>
      </c>
      <c r="E317">
        <v>792</v>
      </c>
      <c r="F317" t="s">
        <v>28</v>
      </c>
      <c r="G317">
        <v>14686</v>
      </c>
      <c r="H317">
        <v>7498</v>
      </c>
      <c r="I317">
        <v>38</v>
      </c>
      <c r="J317">
        <v>58</v>
      </c>
      <c r="K317">
        <v>851788</v>
      </c>
      <c r="L317">
        <v>102502</v>
      </c>
      <c r="M317">
        <v>749286</v>
      </c>
      <c r="N317">
        <v>434884</v>
      </c>
      <c r="O317">
        <v>314402</v>
      </c>
      <c r="P317">
        <v>41.96</v>
      </c>
      <c r="Q317">
        <v>1</v>
      </c>
      <c r="R317">
        <v>13217</v>
      </c>
      <c r="S317">
        <v>2.63</v>
      </c>
      <c r="T317">
        <v>12</v>
      </c>
      <c r="U317">
        <v>4.33</v>
      </c>
      <c r="V317">
        <v>554671</v>
      </c>
      <c r="W317">
        <v>9473870</v>
      </c>
      <c r="X317">
        <v>17.079999999999998</v>
      </c>
      <c r="Y317" t="s">
        <v>29</v>
      </c>
    </row>
    <row r="318" spans="1:25" x14ac:dyDescent="0.3">
      <c r="A318" t="s">
        <v>669</v>
      </c>
      <c r="B318" t="s">
        <v>670</v>
      </c>
      <c r="C318" t="s">
        <v>658</v>
      </c>
      <c r="D318" s="1">
        <v>44977</v>
      </c>
      <c r="E318">
        <v>770</v>
      </c>
      <c r="F318" t="s">
        <v>28</v>
      </c>
      <c r="G318">
        <v>14329</v>
      </c>
      <c r="H318">
        <v>11825</v>
      </c>
      <c r="I318">
        <v>85</v>
      </c>
      <c r="J318">
        <v>131</v>
      </c>
      <c r="K318">
        <v>1877099</v>
      </c>
      <c r="L318">
        <v>269652</v>
      </c>
      <c r="M318">
        <v>1607447</v>
      </c>
      <c r="N318">
        <v>1549075</v>
      </c>
      <c r="O318">
        <v>58372</v>
      </c>
      <c r="P318">
        <v>3.63</v>
      </c>
      <c r="Q318">
        <v>11</v>
      </c>
      <c r="R318">
        <v>141856</v>
      </c>
      <c r="S318">
        <v>12.94</v>
      </c>
      <c r="T318">
        <v>39</v>
      </c>
      <c r="U318">
        <v>3.24</v>
      </c>
      <c r="V318">
        <v>364979</v>
      </c>
      <c r="W318">
        <v>6060084</v>
      </c>
      <c r="X318">
        <v>16.600000000000001</v>
      </c>
      <c r="Y318" t="s">
        <v>39</v>
      </c>
    </row>
    <row r="319" spans="1:25" x14ac:dyDescent="0.3">
      <c r="A319" t="s">
        <v>671</v>
      </c>
      <c r="B319" t="s">
        <v>672</v>
      </c>
      <c r="C319" t="s">
        <v>658</v>
      </c>
      <c r="D319" s="1">
        <v>45166</v>
      </c>
      <c r="E319">
        <v>581</v>
      </c>
      <c r="F319" t="s">
        <v>28</v>
      </c>
      <c r="G319">
        <v>19856</v>
      </c>
      <c r="H319">
        <v>13056</v>
      </c>
      <c r="I319">
        <v>22</v>
      </c>
      <c r="J319">
        <v>34</v>
      </c>
      <c r="K319">
        <v>675104</v>
      </c>
      <c r="L319">
        <v>106909</v>
      </c>
      <c r="M319">
        <v>568195</v>
      </c>
      <c r="N319">
        <v>443904</v>
      </c>
      <c r="O319">
        <v>124291</v>
      </c>
      <c r="P319">
        <v>21.87</v>
      </c>
      <c r="Q319">
        <v>2</v>
      </c>
      <c r="R319">
        <v>35740</v>
      </c>
      <c r="S319">
        <v>9.09</v>
      </c>
      <c r="T319">
        <v>11</v>
      </c>
      <c r="U319">
        <v>3.73</v>
      </c>
      <c r="V319">
        <v>381285</v>
      </c>
      <c r="W319">
        <v>6167695</v>
      </c>
      <c r="X319">
        <v>16.18</v>
      </c>
      <c r="Y319" t="s">
        <v>39</v>
      </c>
    </row>
    <row r="320" spans="1:25" x14ac:dyDescent="0.3">
      <c r="A320" t="s">
        <v>673</v>
      </c>
      <c r="B320" t="s">
        <v>674</v>
      </c>
      <c r="C320" t="s">
        <v>658</v>
      </c>
      <c r="D320" s="1">
        <v>45639</v>
      </c>
      <c r="E320">
        <v>108</v>
      </c>
      <c r="F320" t="s">
        <v>28</v>
      </c>
      <c r="G320">
        <v>4741</v>
      </c>
      <c r="H320">
        <v>2212</v>
      </c>
      <c r="I320">
        <v>156</v>
      </c>
      <c r="J320">
        <v>249</v>
      </c>
      <c r="K320">
        <v>1180509</v>
      </c>
      <c r="L320">
        <v>191419</v>
      </c>
      <c r="M320">
        <v>989090</v>
      </c>
      <c r="N320">
        <v>550788</v>
      </c>
      <c r="O320">
        <v>438302</v>
      </c>
      <c r="P320">
        <v>44.31</v>
      </c>
      <c r="Q320">
        <v>16</v>
      </c>
      <c r="R320">
        <v>68256</v>
      </c>
      <c r="S320">
        <v>10.26</v>
      </c>
      <c r="T320">
        <v>60</v>
      </c>
      <c r="U320">
        <v>4.5199999999999996</v>
      </c>
      <c r="V320">
        <v>72754</v>
      </c>
      <c r="W320">
        <v>561328</v>
      </c>
      <c r="X320">
        <v>7.72</v>
      </c>
      <c r="Y320" t="s">
        <v>61</v>
      </c>
    </row>
    <row r="321" spans="1:25" x14ac:dyDescent="0.3">
      <c r="A321" t="s">
        <v>675</v>
      </c>
      <c r="B321" t="s">
        <v>676</v>
      </c>
      <c r="C321" t="s">
        <v>658</v>
      </c>
      <c r="D321" s="1">
        <v>45164</v>
      </c>
      <c r="E321">
        <v>583</v>
      </c>
      <c r="F321" t="s">
        <v>28</v>
      </c>
      <c r="G321">
        <v>8480</v>
      </c>
      <c r="H321">
        <v>7073</v>
      </c>
      <c r="I321">
        <v>107</v>
      </c>
      <c r="J321">
        <v>152</v>
      </c>
      <c r="K321">
        <v>1288960</v>
      </c>
      <c r="L321">
        <v>215236</v>
      </c>
      <c r="M321">
        <v>1073724</v>
      </c>
      <c r="N321">
        <v>1075096</v>
      </c>
      <c r="O321">
        <v>-1372</v>
      </c>
      <c r="P321">
        <v>-0.13</v>
      </c>
      <c r="Q321">
        <v>11</v>
      </c>
      <c r="R321">
        <v>83952</v>
      </c>
      <c r="S321">
        <v>10.28</v>
      </c>
      <c r="T321">
        <v>42</v>
      </c>
      <c r="U321">
        <v>3.4</v>
      </c>
      <c r="V321">
        <v>472890</v>
      </c>
      <c r="W321">
        <v>3965159</v>
      </c>
      <c r="X321">
        <v>8.3800000000000008</v>
      </c>
      <c r="Y321" t="s">
        <v>39</v>
      </c>
    </row>
    <row r="322" spans="1:25" x14ac:dyDescent="0.3">
      <c r="A322" t="s">
        <v>677</v>
      </c>
      <c r="B322" t="s">
        <v>678</v>
      </c>
      <c r="C322" t="s">
        <v>658</v>
      </c>
      <c r="D322" s="1">
        <v>44912</v>
      </c>
      <c r="E322">
        <v>835</v>
      </c>
      <c r="F322" t="s">
        <v>28</v>
      </c>
      <c r="G322">
        <v>13872</v>
      </c>
      <c r="H322">
        <v>10142</v>
      </c>
      <c r="I322">
        <v>30</v>
      </c>
      <c r="J322">
        <v>45</v>
      </c>
      <c r="K322">
        <v>624240</v>
      </c>
      <c r="L322">
        <v>107381</v>
      </c>
      <c r="M322">
        <v>516859</v>
      </c>
      <c r="N322">
        <v>456390</v>
      </c>
      <c r="O322">
        <v>60469</v>
      </c>
      <c r="P322">
        <v>11.7</v>
      </c>
      <c r="Q322">
        <v>5</v>
      </c>
      <c r="R322">
        <v>62420</v>
      </c>
      <c r="S322">
        <v>16.670000000000002</v>
      </c>
      <c r="T322">
        <v>12</v>
      </c>
      <c r="U322">
        <v>3.63</v>
      </c>
      <c r="V322">
        <v>419168</v>
      </c>
      <c r="W322">
        <v>7649942</v>
      </c>
      <c r="X322">
        <v>18.25</v>
      </c>
      <c r="Y322" t="s">
        <v>39</v>
      </c>
    </row>
    <row r="323" spans="1:25" x14ac:dyDescent="0.3">
      <c r="A323" t="s">
        <v>679</v>
      </c>
      <c r="B323" t="s">
        <v>680</v>
      </c>
      <c r="C323" t="s">
        <v>658</v>
      </c>
      <c r="D323" s="1">
        <v>45170</v>
      </c>
      <c r="E323">
        <v>577</v>
      </c>
      <c r="F323" t="s">
        <v>28</v>
      </c>
      <c r="G323">
        <v>15198</v>
      </c>
      <c r="H323">
        <v>7179</v>
      </c>
      <c r="I323">
        <v>68</v>
      </c>
      <c r="J323">
        <v>99</v>
      </c>
      <c r="K323">
        <v>1504602</v>
      </c>
      <c r="L323">
        <v>227048</v>
      </c>
      <c r="M323">
        <v>1277554</v>
      </c>
      <c r="N323">
        <v>710721</v>
      </c>
      <c r="O323">
        <v>566833</v>
      </c>
      <c r="P323">
        <v>44.37</v>
      </c>
      <c r="Q323">
        <v>7</v>
      </c>
      <c r="R323">
        <v>95746</v>
      </c>
      <c r="S323">
        <v>10.29</v>
      </c>
      <c r="T323">
        <v>30</v>
      </c>
      <c r="U323">
        <v>4.5999999999999996</v>
      </c>
      <c r="V323">
        <v>104014</v>
      </c>
      <c r="W323">
        <v>2184109</v>
      </c>
      <c r="X323">
        <v>21</v>
      </c>
      <c r="Y323" t="s">
        <v>39</v>
      </c>
    </row>
    <row r="324" spans="1:25" x14ac:dyDescent="0.3">
      <c r="A324" t="s">
        <v>681</v>
      </c>
      <c r="B324" t="s">
        <v>682</v>
      </c>
      <c r="C324" t="s">
        <v>658</v>
      </c>
      <c r="D324" s="1">
        <v>45649</v>
      </c>
      <c r="E324">
        <v>98</v>
      </c>
      <c r="F324" t="s">
        <v>28</v>
      </c>
      <c r="G324">
        <v>12037</v>
      </c>
      <c r="H324">
        <v>6228</v>
      </c>
      <c r="I324">
        <v>106</v>
      </c>
      <c r="J324">
        <v>161</v>
      </c>
      <c r="K324">
        <v>1937957</v>
      </c>
      <c r="L324">
        <v>276935</v>
      </c>
      <c r="M324">
        <v>1661022</v>
      </c>
      <c r="N324">
        <v>1002708</v>
      </c>
      <c r="O324">
        <v>658314</v>
      </c>
      <c r="P324">
        <v>39.630000000000003</v>
      </c>
      <c r="Q324">
        <v>4</v>
      </c>
      <c r="R324">
        <v>43332</v>
      </c>
      <c r="S324">
        <v>3.77</v>
      </c>
      <c r="T324">
        <v>43</v>
      </c>
      <c r="U324">
        <v>4.4800000000000004</v>
      </c>
      <c r="V324">
        <v>535404</v>
      </c>
      <c r="W324">
        <v>7572534</v>
      </c>
      <c r="X324">
        <v>14.14</v>
      </c>
      <c r="Y324" t="s">
        <v>29</v>
      </c>
    </row>
    <row r="325" spans="1:25" x14ac:dyDescent="0.3">
      <c r="A325" t="s">
        <v>683</v>
      </c>
      <c r="B325" t="s">
        <v>684</v>
      </c>
      <c r="C325" t="s">
        <v>658</v>
      </c>
      <c r="D325" s="1">
        <v>45426</v>
      </c>
      <c r="E325">
        <v>321</v>
      </c>
      <c r="F325" t="s">
        <v>28</v>
      </c>
      <c r="G325">
        <v>9591</v>
      </c>
      <c r="H325">
        <v>7174</v>
      </c>
      <c r="I325">
        <v>96</v>
      </c>
      <c r="J325">
        <v>136</v>
      </c>
      <c r="K325">
        <v>1304376</v>
      </c>
      <c r="L325">
        <v>153813</v>
      </c>
      <c r="M325">
        <v>1150563</v>
      </c>
      <c r="N325">
        <v>975664</v>
      </c>
      <c r="O325">
        <v>174899</v>
      </c>
      <c r="P325">
        <v>15.2</v>
      </c>
      <c r="Q325">
        <v>5</v>
      </c>
      <c r="R325">
        <v>43155</v>
      </c>
      <c r="S325">
        <v>5.21</v>
      </c>
      <c r="T325">
        <v>44</v>
      </c>
      <c r="U325">
        <v>3.38</v>
      </c>
      <c r="V325">
        <v>115014</v>
      </c>
      <c r="W325">
        <v>1658108</v>
      </c>
      <c r="X325">
        <v>14.42</v>
      </c>
      <c r="Y325" t="s">
        <v>39</v>
      </c>
    </row>
    <row r="326" spans="1:25" x14ac:dyDescent="0.3">
      <c r="A326" t="s">
        <v>685</v>
      </c>
      <c r="B326" t="s">
        <v>686</v>
      </c>
      <c r="C326" t="s">
        <v>658</v>
      </c>
      <c r="D326" s="1">
        <v>45305</v>
      </c>
      <c r="E326">
        <v>442</v>
      </c>
      <c r="F326" t="s">
        <v>28</v>
      </c>
      <c r="G326">
        <v>3561</v>
      </c>
      <c r="H326">
        <v>2201</v>
      </c>
      <c r="I326">
        <v>177</v>
      </c>
      <c r="J326">
        <v>261</v>
      </c>
      <c r="K326">
        <v>929421</v>
      </c>
      <c r="L326">
        <v>157278</v>
      </c>
      <c r="M326">
        <v>772143</v>
      </c>
      <c r="N326">
        <v>574461</v>
      </c>
      <c r="O326">
        <v>197682</v>
      </c>
      <c r="P326">
        <v>25.6</v>
      </c>
      <c r="Q326">
        <v>20</v>
      </c>
      <c r="R326">
        <v>64080</v>
      </c>
      <c r="S326">
        <v>11.3</v>
      </c>
      <c r="T326">
        <v>68</v>
      </c>
      <c r="U326">
        <v>3.97</v>
      </c>
      <c r="V326">
        <v>640595</v>
      </c>
      <c r="W326">
        <v>2310773</v>
      </c>
      <c r="X326">
        <v>3.61</v>
      </c>
      <c r="Y326" t="s">
        <v>39</v>
      </c>
    </row>
    <row r="327" spans="1:25" x14ac:dyDescent="0.3">
      <c r="A327" t="s">
        <v>687</v>
      </c>
      <c r="B327" t="s">
        <v>688</v>
      </c>
      <c r="C327" t="s">
        <v>658</v>
      </c>
      <c r="D327" s="1">
        <v>45540</v>
      </c>
      <c r="E327">
        <v>207</v>
      </c>
      <c r="F327" t="s">
        <v>28</v>
      </c>
      <c r="G327">
        <v>14317</v>
      </c>
      <c r="H327">
        <v>11581</v>
      </c>
      <c r="I327">
        <v>91</v>
      </c>
      <c r="J327">
        <v>141</v>
      </c>
      <c r="K327">
        <v>2018697</v>
      </c>
      <c r="L327">
        <v>263682</v>
      </c>
      <c r="M327">
        <v>1755015</v>
      </c>
      <c r="N327">
        <v>1632921</v>
      </c>
      <c r="O327">
        <v>122094</v>
      </c>
      <c r="P327">
        <v>6.96</v>
      </c>
      <c r="Q327">
        <v>8</v>
      </c>
      <c r="R327">
        <v>103080</v>
      </c>
      <c r="S327">
        <v>8.7899999999999991</v>
      </c>
      <c r="T327">
        <v>36</v>
      </c>
      <c r="U327">
        <v>3.08</v>
      </c>
      <c r="V327">
        <v>491418</v>
      </c>
      <c r="W327">
        <v>8634304</v>
      </c>
      <c r="X327">
        <v>17.57</v>
      </c>
      <c r="Y327" t="s">
        <v>39</v>
      </c>
    </row>
    <row r="328" spans="1:25" x14ac:dyDescent="0.3">
      <c r="A328" t="s">
        <v>689</v>
      </c>
      <c r="B328" t="s">
        <v>690</v>
      </c>
      <c r="C328" t="s">
        <v>658</v>
      </c>
      <c r="D328" s="1">
        <v>45515</v>
      </c>
      <c r="E328">
        <v>232</v>
      </c>
      <c r="F328" t="s">
        <v>28</v>
      </c>
      <c r="G328">
        <v>8503</v>
      </c>
      <c r="H328">
        <v>7337</v>
      </c>
      <c r="I328">
        <v>96</v>
      </c>
      <c r="J328">
        <v>149</v>
      </c>
      <c r="K328">
        <v>1266947</v>
      </c>
      <c r="L328">
        <v>154266</v>
      </c>
      <c r="M328">
        <v>1112681</v>
      </c>
      <c r="N328">
        <v>1093213</v>
      </c>
      <c r="O328">
        <v>19468</v>
      </c>
      <c r="P328">
        <v>1.75</v>
      </c>
      <c r="Q328">
        <v>3</v>
      </c>
      <c r="R328">
        <v>22956</v>
      </c>
      <c r="S328">
        <v>3.13</v>
      </c>
      <c r="T328">
        <v>48</v>
      </c>
      <c r="U328">
        <v>2.9</v>
      </c>
      <c r="V328">
        <v>686954</v>
      </c>
      <c r="W328">
        <v>5617967</v>
      </c>
      <c r="X328">
        <v>8.18</v>
      </c>
      <c r="Y328" t="s">
        <v>39</v>
      </c>
    </row>
    <row r="329" spans="1:25" x14ac:dyDescent="0.3">
      <c r="A329" t="s">
        <v>691</v>
      </c>
      <c r="B329" t="s">
        <v>692</v>
      </c>
      <c r="C329" t="s">
        <v>658</v>
      </c>
      <c r="D329" s="1">
        <v>45555</v>
      </c>
      <c r="E329">
        <v>192</v>
      </c>
      <c r="F329" t="s">
        <v>28</v>
      </c>
      <c r="G329">
        <v>14364</v>
      </c>
      <c r="H329">
        <v>8690</v>
      </c>
      <c r="I329">
        <v>40</v>
      </c>
      <c r="J329">
        <v>64</v>
      </c>
      <c r="K329">
        <v>919296</v>
      </c>
      <c r="L329">
        <v>171428</v>
      </c>
      <c r="M329">
        <v>747868</v>
      </c>
      <c r="N329">
        <v>556160</v>
      </c>
      <c r="O329">
        <v>191708</v>
      </c>
      <c r="P329">
        <v>25.63</v>
      </c>
      <c r="Q329">
        <v>2</v>
      </c>
      <c r="R329">
        <v>25854</v>
      </c>
      <c r="S329">
        <v>5</v>
      </c>
      <c r="T329">
        <v>14</v>
      </c>
      <c r="U329">
        <v>4.21</v>
      </c>
      <c r="V329">
        <v>286039</v>
      </c>
      <c r="W329">
        <v>5615528</v>
      </c>
      <c r="X329">
        <v>19.63</v>
      </c>
      <c r="Y329" t="s">
        <v>39</v>
      </c>
    </row>
    <row r="330" spans="1:25" x14ac:dyDescent="0.3">
      <c r="A330" t="s">
        <v>693</v>
      </c>
      <c r="B330" t="s">
        <v>694</v>
      </c>
      <c r="C330" t="s">
        <v>658</v>
      </c>
      <c r="D330" s="1">
        <v>44958</v>
      </c>
      <c r="E330">
        <v>789</v>
      </c>
      <c r="F330" t="s">
        <v>28</v>
      </c>
      <c r="G330">
        <v>563</v>
      </c>
      <c r="H330">
        <v>330</v>
      </c>
      <c r="I330">
        <v>361</v>
      </c>
      <c r="J330">
        <v>545</v>
      </c>
      <c r="K330">
        <v>306835</v>
      </c>
      <c r="L330">
        <v>46166</v>
      </c>
      <c r="M330">
        <v>260669</v>
      </c>
      <c r="N330">
        <v>179850</v>
      </c>
      <c r="O330">
        <v>80819</v>
      </c>
      <c r="P330">
        <v>31</v>
      </c>
      <c r="Q330">
        <v>37</v>
      </c>
      <c r="R330">
        <v>18722</v>
      </c>
      <c r="S330">
        <v>10.25</v>
      </c>
      <c r="T330">
        <v>119</v>
      </c>
      <c r="U330">
        <v>4.25</v>
      </c>
      <c r="V330">
        <v>497105</v>
      </c>
      <c r="W330">
        <v>336844</v>
      </c>
      <c r="X330">
        <v>0.68</v>
      </c>
      <c r="Y330" t="s">
        <v>39</v>
      </c>
    </row>
    <row r="331" spans="1:25" x14ac:dyDescent="0.3">
      <c r="A331" t="s">
        <v>695</v>
      </c>
      <c r="B331" t="s">
        <v>696</v>
      </c>
      <c r="C331" t="s">
        <v>658</v>
      </c>
      <c r="D331" s="1">
        <v>45211</v>
      </c>
      <c r="E331">
        <v>536</v>
      </c>
      <c r="F331" t="s">
        <v>28</v>
      </c>
      <c r="G331">
        <v>3655</v>
      </c>
      <c r="H331">
        <v>3119</v>
      </c>
      <c r="I331">
        <v>74</v>
      </c>
      <c r="J331">
        <v>106</v>
      </c>
      <c r="K331">
        <v>387430</v>
      </c>
      <c r="L331">
        <v>66032</v>
      </c>
      <c r="M331">
        <v>321398</v>
      </c>
      <c r="N331">
        <v>330614</v>
      </c>
      <c r="O331">
        <v>-9216</v>
      </c>
      <c r="P331">
        <v>-2.87</v>
      </c>
      <c r="Q331">
        <v>8</v>
      </c>
      <c r="R331">
        <v>26312</v>
      </c>
      <c r="S331">
        <v>10.81</v>
      </c>
      <c r="T331">
        <v>34</v>
      </c>
      <c r="U331">
        <v>3.28</v>
      </c>
      <c r="V331">
        <v>498668</v>
      </c>
      <c r="W331">
        <v>2437454</v>
      </c>
      <c r="X331">
        <v>4.8899999999999997</v>
      </c>
      <c r="Y331" t="s">
        <v>39</v>
      </c>
    </row>
    <row r="332" spans="1:25" x14ac:dyDescent="0.3">
      <c r="A332" t="s">
        <v>697</v>
      </c>
      <c r="B332" t="s">
        <v>698</v>
      </c>
      <c r="C332" t="s">
        <v>658</v>
      </c>
      <c r="D332" s="1">
        <v>44843</v>
      </c>
      <c r="E332">
        <v>904</v>
      </c>
      <c r="F332" t="s">
        <v>28</v>
      </c>
      <c r="G332">
        <v>2540</v>
      </c>
      <c r="H332">
        <v>1679</v>
      </c>
      <c r="I332">
        <v>71</v>
      </c>
      <c r="J332">
        <v>99</v>
      </c>
      <c r="K332">
        <v>251460</v>
      </c>
      <c r="L332">
        <v>48586</v>
      </c>
      <c r="M332">
        <v>202874</v>
      </c>
      <c r="N332">
        <v>166221</v>
      </c>
      <c r="O332">
        <v>36653</v>
      </c>
      <c r="P332">
        <v>18.07</v>
      </c>
      <c r="Q332">
        <v>3</v>
      </c>
      <c r="R332">
        <v>6858</v>
      </c>
      <c r="S332">
        <v>4.2300000000000004</v>
      </c>
      <c r="T332">
        <v>26</v>
      </c>
      <c r="U332">
        <v>3.85</v>
      </c>
      <c r="V332">
        <v>492135</v>
      </c>
      <c r="W332">
        <v>1485604</v>
      </c>
      <c r="X332">
        <v>3.02</v>
      </c>
      <c r="Y332" t="s">
        <v>39</v>
      </c>
    </row>
    <row r="333" spans="1:25" x14ac:dyDescent="0.3">
      <c r="A333" t="s">
        <v>699</v>
      </c>
      <c r="B333" t="s">
        <v>700</v>
      </c>
      <c r="C333" t="s">
        <v>658</v>
      </c>
      <c r="D333" s="1">
        <v>45288</v>
      </c>
      <c r="E333">
        <v>459</v>
      </c>
      <c r="F333" t="s">
        <v>28</v>
      </c>
      <c r="G333">
        <v>13789</v>
      </c>
      <c r="H333">
        <v>8587</v>
      </c>
      <c r="I333">
        <v>41</v>
      </c>
      <c r="J333">
        <v>60</v>
      </c>
      <c r="K333">
        <v>827340</v>
      </c>
      <c r="L333">
        <v>92376</v>
      </c>
      <c r="M333">
        <v>734964</v>
      </c>
      <c r="N333">
        <v>515220</v>
      </c>
      <c r="O333">
        <v>219744</v>
      </c>
      <c r="P333">
        <v>29.9</v>
      </c>
      <c r="Q333">
        <v>2</v>
      </c>
      <c r="R333">
        <v>24820</v>
      </c>
      <c r="S333">
        <v>4.88</v>
      </c>
      <c r="T333">
        <v>22</v>
      </c>
      <c r="U333">
        <v>3.93</v>
      </c>
      <c r="V333">
        <v>144571</v>
      </c>
      <c r="W333">
        <v>1586576</v>
      </c>
      <c r="X333">
        <v>10.97</v>
      </c>
      <c r="Y333" t="s">
        <v>39</v>
      </c>
    </row>
    <row r="334" spans="1:25" x14ac:dyDescent="0.3">
      <c r="A334" t="s">
        <v>701</v>
      </c>
      <c r="B334" t="s">
        <v>702</v>
      </c>
      <c r="C334" t="s">
        <v>658</v>
      </c>
      <c r="D334" s="1">
        <v>45157</v>
      </c>
      <c r="E334">
        <v>590</v>
      </c>
      <c r="F334" t="s">
        <v>28</v>
      </c>
      <c r="G334">
        <v>11818</v>
      </c>
      <c r="H334">
        <v>5513</v>
      </c>
      <c r="I334">
        <v>90</v>
      </c>
      <c r="J334">
        <v>137</v>
      </c>
      <c r="K334">
        <v>1619066</v>
      </c>
      <c r="L334">
        <v>304710</v>
      </c>
      <c r="M334">
        <v>1314356</v>
      </c>
      <c r="N334">
        <v>755281</v>
      </c>
      <c r="O334">
        <v>559075</v>
      </c>
      <c r="P334">
        <v>42.54</v>
      </c>
      <c r="Q334">
        <v>4</v>
      </c>
      <c r="R334">
        <v>42544</v>
      </c>
      <c r="S334">
        <v>4.4400000000000004</v>
      </c>
      <c r="T334">
        <v>32</v>
      </c>
      <c r="U334">
        <v>4.41</v>
      </c>
      <c r="V334">
        <v>406517</v>
      </c>
      <c r="W334">
        <v>5836082</v>
      </c>
      <c r="X334">
        <v>14.36</v>
      </c>
      <c r="Y334" t="s">
        <v>29</v>
      </c>
    </row>
    <row r="335" spans="1:25" x14ac:dyDescent="0.3">
      <c r="A335" t="s">
        <v>703</v>
      </c>
      <c r="B335" t="s">
        <v>704</v>
      </c>
      <c r="C335" t="s">
        <v>658</v>
      </c>
      <c r="D335" s="1">
        <v>45542</v>
      </c>
      <c r="E335">
        <v>205</v>
      </c>
      <c r="F335" t="s">
        <v>28</v>
      </c>
      <c r="G335">
        <v>9635</v>
      </c>
      <c r="H335">
        <v>5294</v>
      </c>
      <c r="I335">
        <v>31</v>
      </c>
      <c r="J335">
        <v>45</v>
      </c>
      <c r="K335">
        <v>433575</v>
      </c>
      <c r="L335">
        <v>58789</v>
      </c>
      <c r="M335">
        <v>374786</v>
      </c>
      <c r="N335">
        <v>238230</v>
      </c>
      <c r="O335">
        <v>136556</v>
      </c>
      <c r="P335">
        <v>36.44</v>
      </c>
      <c r="Q335">
        <v>0</v>
      </c>
      <c r="R335">
        <v>0</v>
      </c>
      <c r="S335">
        <v>0</v>
      </c>
      <c r="T335">
        <v>17</v>
      </c>
      <c r="U335">
        <v>4.24</v>
      </c>
      <c r="V335">
        <v>211211</v>
      </c>
      <c r="W335">
        <v>2061527</v>
      </c>
      <c r="X335">
        <v>9.76</v>
      </c>
      <c r="Y335" t="s">
        <v>39</v>
      </c>
    </row>
    <row r="336" spans="1:25" x14ac:dyDescent="0.3">
      <c r="A336" t="s">
        <v>705</v>
      </c>
      <c r="B336" t="s">
        <v>706</v>
      </c>
      <c r="C336" t="s">
        <v>658</v>
      </c>
      <c r="D336" s="1">
        <v>45137</v>
      </c>
      <c r="E336">
        <v>610</v>
      </c>
      <c r="F336" t="s">
        <v>28</v>
      </c>
      <c r="G336">
        <v>6480</v>
      </c>
      <c r="H336">
        <v>3651</v>
      </c>
      <c r="I336">
        <v>110</v>
      </c>
      <c r="J336">
        <v>155</v>
      </c>
      <c r="K336">
        <v>1004400</v>
      </c>
      <c r="L336">
        <v>101483</v>
      </c>
      <c r="M336">
        <v>902917</v>
      </c>
      <c r="N336">
        <v>565905</v>
      </c>
      <c r="O336">
        <v>337012</v>
      </c>
      <c r="P336">
        <v>37.32</v>
      </c>
      <c r="Q336">
        <v>5</v>
      </c>
      <c r="R336">
        <v>29160</v>
      </c>
      <c r="S336">
        <v>4.55</v>
      </c>
      <c r="T336">
        <v>42</v>
      </c>
      <c r="U336">
        <v>4.1900000000000004</v>
      </c>
      <c r="V336">
        <v>236165</v>
      </c>
      <c r="W336">
        <v>2069035</v>
      </c>
      <c r="X336">
        <v>8.76</v>
      </c>
      <c r="Y336" t="s">
        <v>29</v>
      </c>
    </row>
    <row r="337" spans="1:25" x14ac:dyDescent="0.3">
      <c r="A337" t="s">
        <v>707</v>
      </c>
      <c r="B337" t="s">
        <v>708</v>
      </c>
      <c r="C337" t="s">
        <v>658</v>
      </c>
      <c r="D337" s="1">
        <v>45443</v>
      </c>
      <c r="E337">
        <v>304</v>
      </c>
      <c r="F337" t="s">
        <v>28</v>
      </c>
      <c r="G337">
        <v>8198</v>
      </c>
      <c r="H337">
        <v>5535</v>
      </c>
      <c r="I337">
        <v>129</v>
      </c>
      <c r="J337">
        <v>200</v>
      </c>
      <c r="K337">
        <v>1639600</v>
      </c>
      <c r="L337">
        <v>253514</v>
      </c>
      <c r="M337">
        <v>1386086</v>
      </c>
      <c r="N337">
        <v>1107000</v>
      </c>
      <c r="O337">
        <v>279086</v>
      </c>
      <c r="P337">
        <v>20.13</v>
      </c>
      <c r="Q337">
        <v>6</v>
      </c>
      <c r="R337">
        <v>44268</v>
      </c>
      <c r="S337">
        <v>4.6500000000000004</v>
      </c>
      <c r="T337">
        <v>47</v>
      </c>
      <c r="U337">
        <v>3.84</v>
      </c>
      <c r="V337">
        <v>333780</v>
      </c>
      <c r="W337">
        <v>3331294</v>
      </c>
      <c r="X337">
        <v>9.98</v>
      </c>
      <c r="Y337" t="s">
        <v>39</v>
      </c>
    </row>
    <row r="338" spans="1:25" x14ac:dyDescent="0.3">
      <c r="A338" t="s">
        <v>709</v>
      </c>
      <c r="B338" t="s">
        <v>710</v>
      </c>
      <c r="C338" t="s">
        <v>658</v>
      </c>
      <c r="D338" s="1">
        <v>45534</v>
      </c>
      <c r="E338">
        <v>213</v>
      </c>
      <c r="F338" t="s">
        <v>28</v>
      </c>
      <c r="G338">
        <v>14089</v>
      </c>
      <c r="H338">
        <v>10363</v>
      </c>
      <c r="I338">
        <v>60</v>
      </c>
      <c r="J338">
        <v>91</v>
      </c>
      <c r="K338">
        <v>1282099</v>
      </c>
      <c r="L338">
        <v>170444</v>
      </c>
      <c r="M338">
        <v>1111655</v>
      </c>
      <c r="N338">
        <v>943033</v>
      </c>
      <c r="O338">
        <v>168622</v>
      </c>
      <c r="P338">
        <v>15.17</v>
      </c>
      <c r="Q338">
        <v>3</v>
      </c>
      <c r="R338">
        <v>38040</v>
      </c>
      <c r="S338">
        <v>5</v>
      </c>
      <c r="T338">
        <v>26</v>
      </c>
      <c r="U338">
        <v>3.56</v>
      </c>
      <c r="V338">
        <v>356901</v>
      </c>
      <c r="W338">
        <v>6246836</v>
      </c>
      <c r="X338">
        <v>17.5</v>
      </c>
      <c r="Y338" t="s">
        <v>39</v>
      </c>
    </row>
    <row r="339" spans="1:25" x14ac:dyDescent="0.3">
      <c r="A339" t="s">
        <v>711</v>
      </c>
      <c r="B339" t="s">
        <v>712</v>
      </c>
      <c r="C339" t="s">
        <v>658</v>
      </c>
      <c r="D339" s="1">
        <v>44875</v>
      </c>
      <c r="E339">
        <v>872</v>
      </c>
      <c r="F339" t="s">
        <v>28</v>
      </c>
      <c r="G339">
        <v>750</v>
      </c>
      <c r="H339">
        <v>586</v>
      </c>
      <c r="I339">
        <v>284</v>
      </c>
      <c r="J339">
        <v>424</v>
      </c>
      <c r="K339">
        <v>318000</v>
      </c>
      <c r="L339">
        <v>39040</v>
      </c>
      <c r="M339">
        <v>278960</v>
      </c>
      <c r="N339">
        <v>248464</v>
      </c>
      <c r="O339">
        <v>30496</v>
      </c>
      <c r="P339">
        <v>10.93</v>
      </c>
      <c r="Q339">
        <v>24</v>
      </c>
      <c r="R339">
        <v>16200</v>
      </c>
      <c r="S339">
        <v>8.4499999999999993</v>
      </c>
      <c r="T339">
        <v>119</v>
      </c>
      <c r="U339">
        <v>3.35</v>
      </c>
      <c r="V339">
        <v>104142</v>
      </c>
      <c r="W339">
        <v>119130</v>
      </c>
      <c r="X339">
        <v>1.1399999999999999</v>
      </c>
      <c r="Y339" t="s">
        <v>39</v>
      </c>
    </row>
    <row r="340" spans="1:25" x14ac:dyDescent="0.3">
      <c r="A340" t="s">
        <v>713</v>
      </c>
      <c r="B340" t="s">
        <v>714</v>
      </c>
      <c r="C340" t="s">
        <v>658</v>
      </c>
      <c r="D340" s="1">
        <v>45246</v>
      </c>
      <c r="E340">
        <v>501</v>
      </c>
      <c r="F340" t="s">
        <v>28</v>
      </c>
      <c r="G340">
        <v>13911</v>
      </c>
      <c r="H340">
        <v>9868</v>
      </c>
      <c r="I340">
        <v>97</v>
      </c>
      <c r="J340">
        <v>142</v>
      </c>
      <c r="K340">
        <v>1975362</v>
      </c>
      <c r="L340">
        <v>369837</v>
      </c>
      <c r="M340">
        <v>1605525</v>
      </c>
      <c r="N340">
        <v>1401256</v>
      </c>
      <c r="O340">
        <v>204269</v>
      </c>
      <c r="P340">
        <v>12.72</v>
      </c>
      <c r="Q340">
        <v>7</v>
      </c>
      <c r="R340">
        <v>87633</v>
      </c>
      <c r="S340">
        <v>7.22</v>
      </c>
      <c r="T340">
        <v>44</v>
      </c>
      <c r="U340">
        <v>3.7</v>
      </c>
      <c r="V340">
        <v>136960</v>
      </c>
      <c r="W340">
        <v>2660802</v>
      </c>
      <c r="X340">
        <v>19.43</v>
      </c>
      <c r="Y340" t="s">
        <v>39</v>
      </c>
    </row>
    <row r="341" spans="1:25" x14ac:dyDescent="0.3">
      <c r="A341" t="s">
        <v>715</v>
      </c>
      <c r="B341" t="s">
        <v>716</v>
      </c>
      <c r="C341" t="s">
        <v>658</v>
      </c>
      <c r="D341" s="1">
        <v>44994</v>
      </c>
      <c r="E341">
        <v>753</v>
      </c>
      <c r="F341" t="s">
        <v>28</v>
      </c>
      <c r="G341">
        <v>17053</v>
      </c>
      <c r="H341">
        <v>8280</v>
      </c>
      <c r="I341">
        <v>26</v>
      </c>
      <c r="J341">
        <v>40</v>
      </c>
      <c r="K341">
        <v>682120</v>
      </c>
      <c r="L341">
        <v>110058</v>
      </c>
      <c r="M341">
        <v>572062</v>
      </c>
      <c r="N341">
        <v>331200</v>
      </c>
      <c r="O341">
        <v>240862</v>
      </c>
      <c r="P341">
        <v>42.1</v>
      </c>
      <c r="Q341">
        <v>4</v>
      </c>
      <c r="R341">
        <v>61388</v>
      </c>
      <c r="S341">
        <v>15.38</v>
      </c>
      <c r="T341">
        <v>13</v>
      </c>
      <c r="U341">
        <v>4.6900000000000004</v>
      </c>
      <c r="V341">
        <v>85947</v>
      </c>
      <c r="W341">
        <v>374031</v>
      </c>
      <c r="X341">
        <v>4.3499999999999996</v>
      </c>
      <c r="Y341" t="s">
        <v>61</v>
      </c>
    </row>
    <row r="342" spans="1:25" x14ac:dyDescent="0.3">
      <c r="A342" t="s">
        <v>717</v>
      </c>
      <c r="B342" t="s">
        <v>718</v>
      </c>
      <c r="C342" t="s">
        <v>658</v>
      </c>
      <c r="D342" s="1">
        <v>45582</v>
      </c>
      <c r="E342">
        <v>165</v>
      </c>
      <c r="F342" t="s">
        <v>28</v>
      </c>
      <c r="G342">
        <v>10462</v>
      </c>
      <c r="H342">
        <v>6126</v>
      </c>
      <c r="I342">
        <v>101</v>
      </c>
      <c r="J342">
        <v>158</v>
      </c>
      <c r="K342">
        <v>1652996</v>
      </c>
      <c r="L342">
        <v>253601</v>
      </c>
      <c r="M342">
        <v>1399395</v>
      </c>
      <c r="N342">
        <v>967908</v>
      </c>
      <c r="O342">
        <v>431487</v>
      </c>
      <c r="P342">
        <v>30.83</v>
      </c>
      <c r="Q342">
        <v>13</v>
      </c>
      <c r="R342">
        <v>122395</v>
      </c>
      <c r="S342">
        <v>12.87</v>
      </c>
      <c r="T342">
        <v>48</v>
      </c>
      <c r="U342">
        <v>4.13</v>
      </c>
      <c r="V342">
        <v>414849</v>
      </c>
      <c r="W342">
        <v>3642048</v>
      </c>
      <c r="X342">
        <v>8.7799999999999994</v>
      </c>
      <c r="Y342" t="s">
        <v>39</v>
      </c>
    </row>
    <row r="343" spans="1:25" x14ac:dyDescent="0.3">
      <c r="A343" t="s">
        <v>719</v>
      </c>
      <c r="B343" t="s">
        <v>720</v>
      </c>
      <c r="C343" t="s">
        <v>658</v>
      </c>
      <c r="D343" s="1">
        <v>45594</v>
      </c>
      <c r="E343">
        <v>153</v>
      </c>
      <c r="F343" t="s">
        <v>28</v>
      </c>
      <c r="G343">
        <v>2102</v>
      </c>
      <c r="H343">
        <v>1599</v>
      </c>
      <c r="I343">
        <v>208</v>
      </c>
      <c r="J343">
        <v>309</v>
      </c>
      <c r="K343">
        <v>649518</v>
      </c>
      <c r="L343">
        <v>94068</v>
      </c>
      <c r="M343">
        <v>555450</v>
      </c>
      <c r="N343">
        <v>494091</v>
      </c>
      <c r="O343">
        <v>61359</v>
      </c>
      <c r="P343">
        <v>11.05</v>
      </c>
      <c r="Q343">
        <v>25</v>
      </c>
      <c r="R343">
        <v>47275</v>
      </c>
      <c r="S343">
        <v>12.02</v>
      </c>
      <c r="T343">
        <v>89</v>
      </c>
      <c r="U343">
        <v>3.5</v>
      </c>
      <c r="V343">
        <v>624974</v>
      </c>
      <c r="W343">
        <v>1251413</v>
      </c>
      <c r="X343">
        <v>2</v>
      </c>
      <c r="Y343" t="s">
        <v>39</v>
      </c>
    </row>
    <row r="344" spans="1:25" x14ac:dyDescent="0.3">
      <c r="A344" t="s">
        <v>721</v>
      </c>
      <c r="B344" t="s">
        <v>722</v>
      </c>
      <c r="C344" t="s">
        <v>658</v>
      </c>
      <c r="D344" s="1">
        <v>45636</v>
      </c>
      <c r="E344">
        <v>111</v>
      </c>
      <c r="F344" t="s">
        <v>28</v>
      </c>
      <c r="G344">
        <v>11659</v>
      </c>
      <c r="H344">
        <v>7749</v>
      </c>
      <c r="I344">
        <v>41</v>
      </c>
      <c r="J344">
        <v>66</v>
      </c>
      <c r="K344">
        <v>769494</v>
      </c>
      <c r="L344">
        <v>127792</v>
      </c>
      <c r="M344">
        <v>641702</v>
      </c>
      <c r="N344">
        <v>511434</v>
      </c>
      <c r="O344">
        <v>130268</v>
      </c>
      <c r="P344">
        <v>20.3</v>
      </c>
      <c r="Q344">
        <v>3</v>
      </c>
      <c r="R344">
        <v>31479</v>
      </c>
      <c r="S344">
        <v>7.32</v>
      </c>
      <c r="T344">
        <v>11</v>
      </c>
      <c r="U344">
        <v>3.73</v>
      </c>
      <c r="V344">
        <v>492087</v>
      </c>
      <c r="W344">
        <v>9004258</v>
      </c>
      <c r="X344">
        <v>18.3</v>
      </c>
      <c r="Y344" t="s">
        <v>39</v>
      </c>
    </row>
    <row r="345" spans="1:25" x14ac:dyDescent="0.3">
      <c r="A345" t="s">
        <v>723</v>
      </c>
      <c r="B345" t="s">
        <v>724</v>
      </c>
      <c r="C345" t="s">
        <v>658</v>
      </c>
      <c r="D345" s="1">
        <v>44865</v>
      </c>
      <c r="E345">
        <v>882</v>
      </c>
      <c r="F345" t="s">
        <v>28</v>
      </c>
      <c r="G345">
        <v>4167</v>
      </c>
      <c r="H345">
        <v>2303</v>
      </c>
      <c r="I345">
        <v>103</v>
      </c>
      <c r="J345">
        <v>151</v>
      </c>
      <c r="K345">
        <v>629217</v>
      </c>
      <c r="L345">
        <v>122544</v>
      </c>
      <c r="M345">
        <v>506673</v>
      </c>
      <c r="N345">
        <v>347753</v>
      </c>
      <c r="O345">
        <v>158920</v>
      </c>
      <c r="P345">
        <v>31.37</v>
      </c>
      <c r="Q345">
        <v>4</v>
      </c>
      <c r="R345">
        <v>15000</v>
      </c>
      <c r="S345">
        <v>3.88</v>
      </c>
      <c r="T345">
        <v>42</v>
      </c>
      <c r="U345">
        <v>4.1399999999999997</v>
      </c>
      <c r="V345">
        <v>244239</v>
      </c>
      <c r="W345">
        <v>1675755</v>
      </c>
      <c r="X345">
        <v>6.86</v>
      </c>
      <c r="Y345" t="s">
        <v>29</v>
      </c>
    </row>
    <row r="346" spans="1:25" x14ac:dyDescent="0.3">
      <c r="A346" t="s">
        <v>725</v>
      </c>
      <c r="B346" t="s">
        <v>726</v>
      </c>
      <c r="C346" t="s">
        <v>658</v>
      </c>
      <c r="D346" s="1">
        <v>45358</v>
      </c>
      <c r="E346">
        <v>389</v>
      </c>
      <c r="F346" t="s">
        <v>28</v>
      </c>
      <c r="G346">
        <v>2824</v>
      </c>
      <c r="H346">
        <v>1911</v>
      </c>
      <c r="I346">
        <v>211</v>
      </c>
      <c r="J346">
        <v>306</v>
      </c>
      <c r="K346">
        <v>864144</v>
      </c>
      <c r="L346">
        <v>118156</v>
      </c>
      <c r="M346">
        <v>745988</v>
      </c>
      <c r="N346">
        <v>584766</v>
      </c>
      <c r="O346">
        <v>161222</v>
      </c>
      <c r="P346">
        <v>21.61</v>
      </c>
      <c r="Q346">
        <v>25</v>
      </c>
      <c r="R346">
        <v>63525</v>
      </c>
      <c r="S346">
        <v>11.85</v>
      </c>
      <c r="T346">
        <v>76</v>
      </c>
      <c r="U346">
        <v>3.76</v>
      </c>
      <c r="V346">
        <v>112460</v>
      </c>
      <c r="W346">
        <v>518429</v>
      </c>
      <c r="X346">
        <v>4.6100000000000003</v>
      </c>
      <c r="Y346" t="s">
        <v>39</v>
      </c>
    </row>
    <row r="347" spans="1:25" x14ac:dyDescent="0.3">
      <c r="A347" t="s">
        <v>727</v>
      </c>
      <c r="B347" t="s">
        <v>728</v>
      </c>
      <c r="C347" t="s">
        <v>658</v>
      </c>
      <c r="D347" s="1">
        <v>44953</v>
      </c>
      <c r="E347">
        <v>794</v>
      </c>
      <c r="F347" t="s">
        <v>28</v>
      </c>
      <c r="G347">
        <v>19104</v>
      </c>
      <c r="H347">
        <v>11398</v>
      </c>
      <c r="I347">
        <v>59</v>
      </c>
      <c r="J347">
        <v>92</v>
      </c>
      <c r="K347">
        <v>1757568</v>
      </c>
      <c r="L347">
        <v>266120</v>
      </c>
      <c r="M347">
        <v>1491448</v>
      </c>
      <c r="N347">
        <v>1048616</v>
      </c>
      <c r="O347">
        <v>442832</v>
      </c>
      <c r="P347">
        <v>29.69</v>
      </c>
      <c r="Q347">
        <v>2</v>
      </c>
      <c r="R347">
        <v>34386</v>
      </c>
      <c r="S347">
        <v>3.39</v>
      </c>
      <c r="T347">
        <v>26</v>
      </c>
      <c r="U347">
        <v>4.2300000000000004</v>
      </c>
      <c r="V347">
        <v>342564</v>
      </c>
      <c r="W347">
        <v>8883964</v>
      </c>
      <c r="X347">
        <v>25.93</v>
      </c>
      <c r="Y347" t="s">
        <v>29</v>
      </c>
    </row>
    <row r="348" spans="1:25" x14ac:dyDescent="0.3">
      <c r="A348" t="s">
        <v>729</v>
      </c>
      <c r="B348" t="s">
        <v>730</v>
      </c>
      <c r="C348" t="s">
        <v>658</v>
      </c>
      <c r="D348" s="1">
        <v>45018</v>
      </c>
      <c r="E348">
        <v>729</v>
      </c>
      <c r="F348" t="s">
        <v>28</v>
      </c>
      <c r="G348">
        <v>12848</v>
      </c>
      <c r="H348">
        <v>6242</v>
      </c>
      <c r="I348">
        <v>67</v>
      </c>
      <c r="J348">
        <v>104</v>
      </c>
      <c r="K348">
        <v>1336192</v>
      </c>
      <c r="L348">
        <v>175270</v>
      </c>
      <c r="M348">
        <v>1160922</v>
      </c>
      <c r="N348">
        <v>649168</v>
      </c>
      <c r="O348">
        <v>511754</v>
      </c>
      <c r="P348">
        <v>44.08</v>
      </c>
      <c r="Q348">
        <v>7</v>
      </c>
      <c r="R348">
        <v>80941</v>
      </c>
      <c r="S348">
        <v>10.45</v>
      </c>
      <c r="T348">
        <v>30</v>
      </c>
      <c r="U348">
        <v>4.5199999999999996</v>
      </c>
      <c r="V348">
        <v>80280</v>
      </c>
      <c r="W348">
        <v>760370</v>
      </c>
      <c r="X348">
        <v>9.4700000000000006</v>
      </c>
      <c r="Y348" t="s">
        <v>61</v>
      </c>
    </row>
    <row r="349" spans="1:25" x14ac:dyDescent="0.3">
      <c r="A349" t="s">
        <v>731</v>
      </c>
      <c r="B349" t="s">
        <v>732</v>
      </c>
      <c r="C349" t="s">
        <v>658</v>
      </c>
      <c r="D349" s="1">
        <v>45261</v>
      </c>
      <c r="E349">
        <v>486</v>
      </c>
      <c r="F349" t="s">
        <v>28</v>
      </c>
      <c r="G349">
        <v>7655</v>
      </c>
      <c r="H349">
        <v>5780</v>
      </c>
      <c r="I349">
        <v>48</v>
      </c>
      <c r="J349">
        <v>73</v>
      </c>
      <c r="K349">
        <v>558815</v>
      </c>
      <c r="L349">
        <v>120423</v>
      </c>
      <c r="M349">
        <v>438392</v>
      </c>
      <c r="N349">
        <v>421940</v>
      </c>
      <c r="O349">
        <v>16452</v>
      </c>
      <c r="P349">
        <v>3.75</v>
      </c>
      <c r="Q349">
        <v>9</v>
      </c>
      <c r="R349">
        <v>62001</v>
      </c>
      <c r="S349">
        <v>18.75</v>
      </c>
      <c r="T349">
        <v>20</v>
      </c>
      <c r="U349">
        <v>3.45</v>
      </c>
      <c r="V349">
        <v>114638</v>
      </c>
      <c r="W349">
        <v>433887</v>
      </c>
      <c r="X349">
        <v>3.78</v>
      </c>
      <c r="Y349" t="s">
        <v>39</v>
      </c>
    </row>
    <row r="350" spans="1:25" x14ac:dyDescent="0.3">
      <c r="A350" t="s">
        <v>733</v>
      </c>
      <c r="B350" t="s">
        <v>734</v>
      </c>
      <c r="C350" t="s">
        <v>658</v>
      </c>
      <c r="D350" s="1">
        <v>45363</v>
      </c>
      <c r="E350">
        <v>384</v>
      </c>
      <c r="F350" t="s">
        <v>28</v>
      </c>
      <c r="G350">
        <v>2024</v>
      </c>
      <c r="H350">
        <v>1658</v>
      </c>
      <c r="I350">
        <v>187</v>
      </c>
      <c r="J350">
        <v>279</v>
      </c>
      <c r="K350">
        <v>564696</v>
      </c>
      <c r="L350">
        <v>94220</v>
      </c>
      <c r="M350">
        <v>470476</v>
      </c>
      <c r="N350">
        <v>462582</v>
      </c>
      <c r="O350">
        <v>7894</v>
      </c>
      <c r="P350">
        <v>1.68</v>
      </c>
      <c r="Q350">
        <v>8</v>
      </c>
      <c r="R350">
        <v>14568</v>
      </c>
      <c r="S350">
        <v>4.28</v>
      </c>
      <c r="T350">
        <v>79</v>
      </c>
      <c r="U350">
        <v>3.11</v>
      </c>
      <c r="V350">
        <v>436073</v>
      </c>
      <c r="W350">
        <v>762662</v>
      </c>
      <c r="X350">
        <v>1.75</v>
      </c>
      <c r="Y350" t="s">
        <v>39</v>
      </c>
    </row>
    <row r="351" spans="1:25" x14ac:dyDescent="0.3">
      <c r="A351" t="s">
        <v>735</v>
      </c>
      <c r="B351" t="s">
        <v>736</v>
      </c>
      <c r="C351" t="s">
        <v>658</v>
      </c>
      <c r="D351" s="1">
        <v>45302</v>
      </c>
      <c r="E351">
        <v>445</v>
      </c>
      <c r="F351" t="s">
        <v>28</v>
      </c>
      <c r="G351">
        <v>11023</v>
      </c>
      <c r="H351">
        <v>9492</v>
      </c>
      <c r="I351">
        <v>94</v>
      </c>
      <c r="J351">
        <v>141</v>
      </c>
      <c r="K351">
        <v>1554243</v>
      </c>
      <c r="L351">
        <v>165480</v>
      </c>
      <c r="M351">
        <v>1388763</v>
      </c>
      <c r="N351">
        <v>1338372</v>
      </c>
      <c r="O351">
        <v>50391</v>
      </c>
      <c r="P351">
        <v>3.63</v>
      </c>
      <c r="Q351">
        <v>11</v>
      </c>
      <c r="R351">
        <v>109120</v>
      </c>
      <c r="S351">
        <v>11.7</v>
      </c>
      <c r="T351">
        <v>39</v>
      </c>
      <c r="U351">
        <v>2.94</v>
      </c>
      <c r="V351">
        <v>507097</v>
      </c>
      <c r="W351">
        <v>4970593</v>
      </c>
      <c r="X351">
        <v>9.8000000000000007</v>
      </c>
      <c r="Y351" t="s">
        <v>39</v>
      </c>
    </row>
    <row r="352" spans="1:25" x14ac:dyDescent="0.3">
      <c r="A352" t="s">
        <v>737</v>
      </c>
      <c r="B352" t="s">
        <v>738</v>
      </c>
      <c r="C352" t="s">
        <v>658</v>
      </c>
      <c r="D352" s="1">
        <v>45440</v>
      </c>
      <c r="E352">
        <v>307</v>
      </c>
      <c r="F352" t="s">
        <v>28</v>
      </c>
      <c r="G352">
        <v>8247</v>
      </c>
      <c r="H352">
        <v>5700</v>
      </c>
      <c r="I352">
        <v>46</v>
      </c>
      <c r="J352">
        <v>64</v>
      </c>
      <c r="K352">
        <v>527808</v>
      </c>
      <c r="L352">
        <v>82877</v>
      </c>
      <c r="M352">
        <v>444931</v>
      </c>
      <c r="N352">
        <v>364800</v>
      </c>
      <c r="O352">
        <v>80131</v>
      </c>
      <c r="P352">
        <v>18.010000000000002</v>
      </c>
      <c r="Q352">
        <v>1</v>
      </c>
      <c r="R352">
        <v>7422</v>
      </c>
      <c r="S352">
        <v>2.17</v>
      </c>
      <c r="T352">
        <v>19</v>
      </c>
      <c r="U352">
        <v>3.5</v>
      </c>
      <c r="V352">
        <v>35457</v>
      </c>
      <c r="W352">
        <v>509790</v>
      </c>
      <c r="X352">
        <v>14.38</v>
      </c>
      <c r="Y352" t="s">
        <v>39</v>
      </c>
    </row>
    <row r="353" spans="1:25" x14ac:dyDescent="0.3">
      <c r="A353" t="s">
        <v>739</v>
      </c>
      <c r="B353" t="s">
        <v>740</v>
      </c>
      <c r="C353" t="s">
        <v>658</v>
      </c>
      <c r="D353" s="1">
        <v>45254</v>
      </c>
      <c r="E353">
        <v>493</v>
      </c>
      <c r="F353" t="s">
        <v>28</v>
      </c>
      <c r="G353">
        <v>5232</v>
      </c>
      <c r="H353">
        <v>4693</v>
      </c>
      <c r="I353">
        <v>152</v>
      </c>
      <c r="J353">
        <v>212</v>
      </c>
      <c r="K353">
        <v>1109184</v>
      </c>
      <c r="L353">
        <v>117783</v>
      </c>
      <c r="M353">
        <v>991401</v>
      </c>
      <c r="N353">
        <v>994916</v>
      </c>
      <c r="O353">
        <v>-3515</v>
      </c>
      <c r="P353">
        <v>-0.35</v>
      </c>
      <c r="Q353">
        <v>3</v>
      </c>
      <c r="R353">
        <v>14124</v>
      </c>
      <c r="S353">
        <v>1.97</v>
      </c>
      <c r="T353">
        <v>66</v>
      </c>
      <c r="U353">
        <v>2.81</v>
      </c>
      <c r="V353">
        <v>222488</v>
      </c>
      <c r="W353">
        <v>1273234</v>
      </c>
      <c r="X353">
        <v>5.72</v>
      </c>
      <c r="Y353" t="s">
        <v>39</v>
      </c>
    </row>
    <row r="354" spans="1:25" x14ac:dyDescent="0.3">
      <c r="A354" t="s">
        <v>741</v>
      </c>
      <c r="B354" t="s">
        <v>742</v>
      </c>
      <c r="C354" t="s">
        <v>658</v>
      </c>
      <c r="D354" s="1">
        <v>45508</v>
      </c>
      <c r="E354">
        <v>239</v>
      </c>
      <c r="F354" t="s">
        <v>28</v>
      </c>
      <c r="G354">
        <v>11276</v>
      </c>
      <c r="H354">
        <v>10140</v>
      </c>
      <c r="I354">
        <v>90</v>
      </c>
      <c r="J354">
        <v>134</v>
      </c>
      <c r="K354">
        <v>1510984</v>
      </c>
      <c r="L354">
        <v>240915</v>
      </c>
      <c r="M354">
        <v>1270069</v>
      </c>
      <c r="N354">
        <v>1358760</v>
      </c>
      <c r="O354">
        <v>-88691</v>
      </c>
      <c r="P354">
        <v>-6.98</v>
      </c>
      <c r="Q354">
        <v>4</v>
      </c>
      <c r="R354">
        <v>40592</v>
      </c>
      <c r="S354">
        <v>4.4400000000000004</v>
      </c>
      <c r="T354">
        <v>34</v>
      </c>
      <c r="U354">
        <v>2.84</v>
      </c>
      <c r="V354">
        <v>586595</v>
      </c>
      <c r="W354">
        <v>7520013</v>
      </c>
      <c r="X354">
        <v>12.82</v>
      </c>
      <c r="Y354" t="s">
        <v>39</v>
      </c>
    </row>
    <row r="355" spans="1:25" x14ac:dyDescent="0.3">
      <c r="A355" t="s">
        <v>743</v>
      </c>
      <c r="B355" t="s">
        <v>744</v>
      </c>
      <c r="C355" t="s">
        <v>658</v>
      </c>
      <c r="D355" s="1">
        <v>44896</v>
      </c>
      <c r="E355">
        <v>851</v>
      </c>
      <c r="F355" t="s">
        <v>28</v>
      </c>
      <c r="G355">
        <v>14055</v>
      </c>
      <c r="H355">
        <v>9537</v>
      </c>
      <c r="I355">
        <v>54</v>
      </c>
      <c r="J355">
        <v>86</v>
      </c>
      <c r="K355">
        <v>1208730</v>
      </c>
      <c r="L355">
        <v>130688</v>
      </c>
      <c r="M355">
        <v>1078042</v>
      </c>
      <c r="N355">
        <v>820182</v>
      </c>
      <c r="O355">
        <v>257860</v>
      </c>
      <c r="P355">
        <v>23.92</v>
      </c>
      <c r="Q355">
        <v>10</v>
      </c>
      <c r="R355">
        <v>126490</v>
      </c>
      <c r="S355">
        <v>18.52</v>
      </c>
      <c r="T355">
        <v>26</v>
      </c>
      <c r="U355">
        <v>3.98</v>
      </c>
      <c r="V355">
        <v>456829</v>
      </c>
      <c r="W355">
        <v>8443793</v>
      </c>
      <c r="X355">
        <v>18.48</v>
      </c>
      <c r="Y355" t="s">
        <v>39</v>
      </c>
    </row>
    <row r="356" spans="1:25" x14ac:dyDescent="0.3">
      <c r="A356" t="s">
        <v>745</v>
      </c>
      <c r="B356" t="s">
        <v>746</v>
      </c>
      <c r="C356" t="s">
        <v>658</v>
      </c>
      <c r="D356" s="1">
        <v>45216</v>
      </c>
      <c r="E356">
        <v>531</v>
      </c>
      <c r="F356" t="s">
        <v>28</v>
      </c>
      <c r="G356">
        <v>13834</v>
      </c>
      <c r="H356">
        <v>8087</v>
      </c>
      <c r="I356">
        <v>34</v>
      </c>
      <c r="J356">
        <v>45</v>
      </c>
      <c r="K356">
        <v>622530</v>
      </c>
      <c r="L356">
        <v>124312</v>
      </c>
      <c r="M356">
        <v>498218</v>
      </c>
      <c r="N356">
        <v>363915</v>
      </c>
      <c r="O356">
        <v>134303</v>
      </c>
      <c r="P356">
        <v>26.96</v>
      </c>
      <c r="Q356">
        <v>1</v>
      </c>
      <c r="R356">
        <v>12450</v>
      </c>
      <c r="S356">
        <v>2.94</v>
      </c>
      <c r="T356">
        <v>13</v>
      </c>
      <c r="U356">
        <v>3.81</v>
      </c>
      <c r="V356">
        <v>361837</v>
      </c>
      <c r="W356">
        <v>4850471</v>
      </c>
      <c r="X356">
        <v>13.41</v>
      </c>
      <c r="Y356" t="s">
        <v>39</v>
      </c>
    </row>
    <row r="357" spans="1:25" x14ac:dyDescent="0.3">
      <c r="A357" t="s">
        <v>747</v>
      </c>
      <c r="B357" t="s">
        <v>748</v>
      </c>
      <c r="C357" t="s">
        <v>658</v>
      </c>
      <c r="D357" s="1">
        <v>44898</v>
      </c>
      <c r="E357">
        <v>849</v>
      </c>
      <c r="F357" t="s">
        <v>28</v>
      </c>
      <c r="G357">
        <v>2751</v>
      </c>
      <c r="H357">
        <v>1743</v>
      </c>
      <c r="I357">
        <v>176</v>
      </c>
      <c r="J357">
        <v>260</v>
      </c>
      <c r="K357">
        <v>715260</v>
      </c>
      <c r="L357">
        <v>106404</v>
      </c>
      <c r="M357">
        <v>608856</v>
      </c>
      <c r="N357">
        <v>453180</v>
      </c>
      <c r="O357">
        <v>155676</v>
      </c>
      <c r="P357">
        <v>25.57</v>
      </c>
      <c r="Q357">
        <v>11</v>
      </c>
      <c r="R357">
        <v>27225</v>
      </c>
      <c r="S357">
        <v>6.25</v>
      </c>
      <c r="T357">
        <v>69</v>
      </c>
      <c r="U357">
        <v>3.96</v>
      </c>
      <c r="V357">
        <v>537948</v>
      </c>
      <c r="W357">
        <v>2008285</v>
      </c>
      <c r="X357">
        <v>3.73</v>
      </c>
      <c r="Y357" t="s">
        <v>39</v>
      </c>
    </row>
    <row r="358" spans="1:25" x14ac:dyDescent="0.3">
      <c r="A358" t="s">
        <v>749</v>
      </c>
      <c r="B358" t="s">
        <v>750</v>
      </c>
      <c r="C358" t="s">
        <v>658</v>
      </c>
      <c r="D358" s="1">
        <v>45113</v>
      </c>
      <c r="E358">
        <v>634</v>
      </c>
      <c r="F358" t="s">
        <v>28</v>
      </c>
      <c r="G358">
        <v>10989</v>
      </c>
      <c r="H358">
        <v>8317</v>
      </c>
      <c r="I358">
        <v>103</v>
      </c>
      <c r="J358">
        <v>146</v>
      </c>
      <c r="K358">
        <v>1604394</v>
      </c>
      <c r="L358">
        <v>248927</v>
      </c>
      <c r="M358">
        <v>1355467</v>
      </c>
      <c r="N358">
        <v>1214282</v>
      </c>
      <c r="O358">
        <v>141185</v>
      </c>
      <c r="P358">
        <v>10.42</v>
      </c>
      <c r="Q358">
        <v>3</v>
      </c>
      <c r="R358">
        <v>29670</v>
      </c>
      <c r="S358">
        <v>2.91</v>
      </c>
      <c r="T358">
        <v>42</v>
      </c>
      <c r="U358">
        <v>3.7</v>
      </c>
      <c r="V358">
        <v>177809</v>
      </c>
      <c r="W358">
        <v>2908042</v>
      </c>
      <c r="X358">
        <v>16.350000000000001</v>
      </c>
      <c r="Y358" t="s">
        <v>39</v>
      </c>
    </row>
    <row r="359" spans="1:25" x14ac:dyDescent="0.3">
      <c r="A359" t="s">
        <v>751</v>
      </c>
      <c r="B359" t="s">
        <v>752</v>
      </c>
      <c r="C359" t="s">
        <v>658</v>
      </c>
      <c r="D359" s="1">
        <v>45156</v>
      </c>
      <c r="E359">
        <v>591</v>
      </c>
      <c r="F359" t="s">
        <v>28</v>
      </c>
      <c r="G359">
        <v>5685</v>
      </c>
      <c r="H359">
        <v>3966</v>
      </c>
      <c r="I359">
        <v>103</v>
      </c>
      <c r="J359">
        <v>153</v>
      </c>
      <c r="K359">
        <v>869805</v>
      </c>
      <c r="L359">
        <v>146044</v>
      </c>
      <c r="M359">
        <v>723761</v>
      </c>
      <c r="N359">
        <v>606798</v>
      </c>
      <c r="O359">
        <v>116963</v>
      </c>
      <c r="P359">
        <v>16.16</v>
      </c>
      <c r="Q359">
        <v>11</v>
      </c>
      <c r="R359">
        <v>56276</v>
      </c>
      <c r="S359">
        <v>10.68</v>
      </c>
      <c r="T359">
        <v>41</v>
      </c>
      <c r="U359">
        <v>3.79</v>
      </c>
      <c r="V359">
        <v>677847</v>
      </c>
      <c r="W359">
        <v>3511223</v>
      </c>
      <c r="X359">
        <v>5.18</v>
      </c>
      <c r="Y359" t="s">
        <v>39</v>
      </c>
    </row>
    <row r="360" spans="1:25" x14ac:dyDescent="0.3">
      <c r="A360" t="s">
        <v>753</v>
      </c>
      <c r="B360" t="s">
        <v>754</v>
      </c>
      <c r="C360" t="s">
        <v>658</v>
      </c>
      <c r="D360" s="1">
        <v>44927</v>
      </c>
      <c r="E360">
        <v>820</v>
      </c>
      <c r="F360" t="s">
        <v>28</v>
      </c>
      <c r="G360">
        <v>8982</v>
      </c>
      <c r="H360">
        <v>4638</v>
      </c>
      <c r="I360">
        <v>37</v>
      </c>
      <c r="J360">
        <v>55</v>
      </c>
      <c r="K360">
        <v>494010</v>
      </c>
      <c r="L360">
        <v>52665</v>
      </c>
      <c r="M360">
        <v>441345</v>
      </c>
      <c r="N360">
        <v>255090</v>
      </c>
      <c r="O360">
        <v>186255</v>
      </c>
      <c r="P360">
        <v>42.2</v>
      </c>
      <c r="Q360">
        <v>3</v>
      </c>
      <c r="R360">
        <v>24249</v>
      </c>
      <c r="S360">
        <v>8.11</v>
      </c>
      <c r="T360">
        <v>17</v>
      </c>
      <c r="U360">
        <v>4.53</v>
      </c>
      <c r="V360">
        <v>482118</v>
      </c>
      <c r="W360">
        <v>5625659</v>
      </c>
      <c r="X360">
        <v>11.67</v>
      </c>
      <c r="Y360" t="s">
        <v>39</v>
      </c>
    </row>
    <row r="361" spans="1:25" x14ac:dyDescent="0.3">
      <c r="A361" t="s">
        <v>755</v>
      </c>
      <c r="B361" t="s">
        <v>756</v>
      </c>
      <c r="C361" t="s">
        <v>658</v>
      </c>
      <c r="D361" s="1">
        <v>45563</v>
      </c>
      <c r="E361">
        <v>184</v>
      </c>
      <c r="F361" t="s">
        <v>28</v>
      </c>
      <c r="G361">
        <v>11040</v>
      </c>
      <c r="H361">
        <v>9199</v>
      </c>
      <c r="I361">
        <v>61</v>
      </c>
      <c r="J361">
        <v>93</v>
      </c>
      <c r="K361">
        <v>1026720</v>
      </c>
      <c r="L361">
        <v>101737</v>
      </c>
      <c r="M361">
        <v>924983</v>
      </c>
      <c r="N361">
        <v>855507</v>
      </c>
      <c r="O361">
        <v>69476</v>
      </c>
      <c r="P361">
        <v>7.51</v>
      </c>
      <c r="Q361">
        <v>0</v>
      </c>
      <c r="R361">
        <v>0</v>
      </c>
      <c r="S361">
        <v>0</v>
      </c>
      <c r="T361">
        <v>22</v>
      </c>
      <c r="U361">
        <v>3.14</v>
      </c>
      <c r="V361">
        <v>251410</v>
      </c>
      <c r="W361">
        <v>3261759</v>
      </c>
      <c r="X361">
        <v>12.97</v>
      </c>
      <c r="Y361" t="s">
        <v>39</v>
      </c>
    </row>
    <row r="362" spans="1:25" x14ac:dyDescent="0.3">
      <c r="A362" t="s">
        <v>757</v>
      </c>
      <c r="B362" t="s">
        <v>758</v>
      </c>
      <c r="C362" t="s">
        <v>658</v>
      </c>
      <c r="D362" s="1">
        <v>45298</v>
      </c>
      <c r="E362">
        <v>449</v>
      </c>
      <c r="F362" t="s">
        <v>28</v>
      </c>
      <c r="G362">
        <v>1317</v>
      </c>
      <c r="H362">
        <v>621</v>
      </c>
      <c r="I362">
        <v>93</v>
      </c>
      <c r="J362">
        <v>144</v>
      </c>
      <c r="K362">
        <v>189648</v>
      </c>
      <c r="L362">
        <v>34425</v>
      </c>
      <c r="M362">
        <v>155223</v>
      </c>
      <c r="N362">
        <v>89424</v>
      </c>
      <c r="O362">
        <v>65799</v>
      </c>
      <c r="P362">
        <v>42.39</v>
      </c>
      <c r="Q362">
        <v>4</v>
      </c>
      <c r="R362">
        <v>4740</v>
      </c>
      <c r="S362">
        <v>4.3</v>
      </c>
      <c r="T362">
        <v>44</v>
      </c>
      <c r="U362">
        <v>4.3899999999999997</v>
      </c>
      <c r="V362">
        <v>288065</v>
      </c>
      <c r="W362">
        <v>397073</v>
      </c>
      <c r="X362">
        <v>1.38</v>
      </c>
      <c r="Y362" t="s">
        <v>29</v>
      </c>
    </row>
    <row r="363" spans="1:25" x14ac:dyDescent="0.3">
      <c r="A363" t="s">
        <v>759</v>
      </c>
      <c r="B363" t="s">
        <v>760</v>
      </c>
      <c r="C363" t="s">
        <v>658</v>
      </c>
      <c r="D363" s="1">
        <v>45634</v>
      </c>
      <c r="E363">
        <v>113</v>
      </c>
      <c r="F363" t="s">
        <v>28</v>
      </c>
      <c r="G363">
        <v>4278</v>
      </c>
      <c r="H363">
        <v>3827</v>
      </c>
      <c r="I363">
        <v>97</v>
      </c>
      <c r="J363">
        <v>138</v>
      </c>
      <c r="K363">
        <v>590364</v>
      </c>
      <c r="L363">
        <v>61335</v>
      </c>
      <c r="M363">
        <v>529029</v>
      </c>
      <c r="N363">
        <v>528126</v>
      </c>
      <c r="O363">
        <v>903</v>
      </c>
      <c r="P363">
        <v>0.17</v>
      </c>
      <c r="Q363">
        <v>2</v>
      </c>
      <c r="R363">
        <v>7700</v>
      </c>
      <c r="S363">
        <v>2.06</v>
      </c>
      <c r="T363">
        <v>34</v>
      </c>
      <c r="U363">
        <v>2.91</v>
      </c>
      <c r="V363">
        <v>354053</v>
      </c>
      <c r="W363">
        <v>3216811</v>
      </c>
      <c r="X363">
        <v>9.09</v>
      </c>
      <c r="Y363" t="s">
        <v>39</v>
      </c>
    </row>
    <row r="364" spans="1:25" x14ac:dyDescent="0.3">
      <c r="A364" t="s">
        <v>761</v>
      </c>
      <c r="B364" t="s">
        <v>762</v>
      </c>
      <c r="C364" t="s">
        <v>658</v>
      </c>
      <c r="D364" s="1">
        <v>44911</v>
      </c>
      <c r="E364">
        <v>836</v>
      </c>
      <c r="F364" t="s">
        <v>28</v>
      </c>
      <c r="G364">
        <v>19380</v>
      </c>
      <c r="H364">
        <v>12330</v>
      </c>
      <c r="I364">
        <v>62</v>
      </c>
      <c r="J364">
        <v>91</v>
      </c>
      <c r="K364">
        <v>1763580</v>
      </c>
      <c r="L364">
        <v>249267</v>
      </c>
      <c r="M364">
        <v>1514313</v>
      </c>
      <c r="N364">
        <v>1122030</v>
      </c>
      <c r="O364">
        <v>392283</v>
      </c>
      <c r="P364">
        <v>25.91</v>
      </c>
      <c r="Q364">
        <v>6</v>
      </c>
      <c r="R364">
        <v>104652</v>
      </c>
      <c r="S364">
        <v>9.68</v>
      </c>
      <c r="T364">
        <v>19</v>
      </c>
      <c r="U364">
        <v>3.95</v>
      </c>
      <c r="V364">
        <v>475797</v>
      </c>
      <c r="W364">
        <v>13306547</v>
      </c>
      <c r="X364">
        <v>27.97</v>
      </c>
      <c r="Y364" t="s">
        <v>39</v>
      </c>
    </row>
    <row r="365" spans="1:25" x14ac:dyDescent="0.3">
      <c r="A365" t="s">
        <v>763</v>
      </c>
      <c r="B365" t="s">
        <v>764</v>
      </c>
      <c r="C365" t="s">
        <v>658</v>
      </c>
      <c r="D365" s="1">
        <v>45307</v>
      </c>
      <c r="E365">
        <v>440</v>
      </c>
      <c r="F365" t="s">
        <v>28</v>
      </c>
      <c r="G365">
        <v>4313</v>
      </c>
      <c r="H365">
        <v>3798</v>
      </c>
      <c r="I365">
        <v>127</v>
      </c>
      <c r="J365">
        <v>200</v>
      </c>
      <c r="K365">
        <v>862600</v>
      </c>
      <c r="L365">
        <v>141618</v>
      </c>
      <c r="M365">
        <v>720982</v>
      </c>
      <c r="N365">
        <v>759600</v>
      </c>
      <c r="O365">
        <v>-38618</v>
      </c>
      <c r="P365">
        <v>-5.36</v>
      </c>
      <c r="Q365">
        <v>15</v>
      </c>
      <c r="R365">
        <v>58215</v>
      </c>
      <c r="S365">
        <v>11.81</v>
      </c>
      <c r="T365">
        <v>50</v>
      </c>
      <c r="U365">
        <v>3.08</v>
      </c>
      <c r="V365">
        <v>372313</v>
      </c>
      <c r="W365">
        <v>2123857</v>
      </c>
      <c r="X365">
        <v>5.7</v>
      </c>
      <c r="Y365" t="s">
        <v>39</v>
      </c>
    </row>
    <row r="366" spans="1:25" x14ac:dyDescent="0.3">
      <c r="A366" t="s">
        <v>765</v>
      </c>
      <c r="B366" t="s">
        <v>766</v>
      </c>
      <c r="C366" t="s">
        <v>658</v>
      </c>
      <c r="D366" s="1">
        <v>45011</v>
      </c>
      <c r="E366">
        <v>736</v>
      </c>
      <c r="F366" t="s">
        <v>28</v>
      </c>
      <c r="G366">
        <v>12840</v>
      </c>
      <c r="H366">
        <v>7608</v>
      </c>
      <c r="I366">
        <v>62</v>
      </c>
      <c r="J366">
        <v>91</v>
      </c>
      <c r="K366">
        <v>1168440</v>
      </c>
      <c r="L366">
        <v>158819</v>
      </c>
      <c r="M366">
        <v>1009621</v>
      </c>
      <c r="N366">
        <v>692328</v>
      </c>
      <c r="O366">
        <v>317293</v>
      </c>
      <c r="P366">
        <v>31.43</v>
      </c>
      <c r="Q366">
        <v>3</v>
      </c>
      <c r="R366">
        <v>34668</v>
      </c>
      <c r="S366">
        <v>4.84</v>
      </c>
      <c r="T366">
        <v>21</v>
      </c>
      <c r="U366">
        <v>4.1399999999999997</v>
      </c>
      <c r="V366">
        <v>276472</v>
      </c>
      <c r="W366">
        <v>5477300</v>
      </c>
      <c r="X366">
        <v>19.809999999999999</v>
      </c>
      <c r="Y366" t="s">
        <v>29</v>
      </c>
    </row>
    <row r="367" spans="1:25" x14ac:dyDescent="0.3">
      <c r="A367" t="s">
        <v>767</v>
      </c>
      <c r="B367" t="s">
        <v>768</v>
      </c>
      <c r="C367" t="s">
        <v>658</v>
      </c>
      <c r="D367" s="1">
        <v>45345</v>
      </c>
      <c r="E367">
        <v>402</v>
      </c>
      <c r="F367" t="s">
        <v>28</v>
      </c>
      <c r="G367">
        <v>8352</v>
      </c>
      <c r="H367">
        <v>5084</v>
      </c>
      <c r="I367">
        <v>70</v>
      </c>
      <c r="J367">
        <v>105</v>
      </c>
      <c r="K367">
        <v>876960</v>
      </c>
      <c r="L367">
        <v>74371</v>
      </c>
      <c r="M367">
        <v>802589</v>
      </c>
      <c r="N367">
        <v>533820</v>
      </c>
      <c r="O367">
        <v>268769</v>
      </c>
      <c r="P367">
        <v>33.49</v>
      </c>
      <c r="Q367">
        <v>8</v>
      </c>
      <c r="R367">
        <v>60128</v>
      </c>
      <c r="S367">
        <v>11.43</v>
      </c>
      <c r="T367">
        <v>26</v>
      </c>
      <c r="U367">
        <v>3.83</v>
      </c>
      <c r="V367">
        <v>455978</v>
      </c>
      <c r="W367">
        <v>2982419</v>
      </c>
      <c r="X367">
        <v>6.54</v>
      </c>
      <c r="Y367" t="s">
        <v>39</v>
      </c>
    </row>
    <row r="368" spans="1:25" x14ac:dyDescent="0.3">
      <c r="A368" t="s">
        <v>769</v>
      </c>
      <c r="B368" t="s">
        <v>770</v>
      </c>
      <c r="C368" t="s">
        <v>658</v>
      </c>
      <c r="D368" s="1">
        <v>45656</v>
      </c>
      <c r="E368">
        <v>91</v>
      </c>
      <c r="F368" t="s">
        <v>28</v>
      </c>
      <c r="G368">
        <v>17528</v>
      </c>
      <c r="H368">
        <v>13810</v>
      </c>
      <c r="I368">
        <v>43</v>
      </c>
      <c r="J368">
        <v>66</v>
      </c>
      <c r="K368">
        <v>1156848</v>
      </c>
      <c r="L368">
        <v>192880</v>
      </c>
      <c r="M368">
        <v>963968</v>
      </c>
      <c r="N368">
        <v>911460</v>
      </c>
      <c r="O368">
        <v>52508</v>
      </c>
      <c r="P368">
        <v>5.45</v>
      </c>
      <c r="Q368">
        <v>5</v>
      </c>
      <c r="R368">
        <v>78875</v>
      </c>
      <c r="S368">
        <v>11.63</v>
      </c>
      <c r="T368">
        <v>15</v>
      </c>
      <c r="U368">
        <v>3.13</v>
      </c>
      <c r="V368">
        <v>96073</v>
      </c>
      <c r="W368">
        <v>1975827</v>
      </c>
      <c r="X368">
        <v>20.57</v>
      </c>
      <c r="Y368" t="s">
        <v>39</v>
      </c>
    </row>
    <row r="369" spans="1:25" x14ac:dyDescent="0.3">
      <c r="A369" t="s">
        <v>771</v>
      </c>
      <c r="B369" t="s">
        <v>772</v>
      </c>
      <c r="C369" t="s">
        <v>658</v>
      </c>
      <c r="D369" s="1">
        <v>45414</v>
      </c>
      <c r="E369">
        <v>333</v>
      </c>
      <c r="F369" t="s">
        <v>28</v>
      </c>
      <c r="G369">
        <v>16180</v>
      </c>
      <c r="H369">
        <v>12057</v>
      </c>
      <c r="I369">
        <v>52</v>
      </c>
      <c r="J369">
        <v>74</v>
      </c>
      <c r="K369">
        <v>1197320</v>
      </c>
      <c r="L369">
        <v>228627</v>
      </c>
      <c r="M369">
        <v>968693</v>
      </c>
      <c r="N369">
        <v>892218</v>
      </c>
      <c r="O369">
        <v>76475</v>
      </c>
      <c r="P369">
        <v>7.89</v>
      </c>
      <c r="Q369">
        <v>1</v>
      </c>
      <c r="R369">
        <v>14562</v>
      </c>
      <c r="S369">
        <v>1.92</v>
      </c>
      <c r="T369">
        <v>21</v>
      </c>
      <c r="U369">
        <v>3.71</v>
      </c>
      <c r="V369">
        <v>181347</v>
      </c>
      <c r="W369">
        <v>2209089</v>
      </c>
      <c r="X369">
        <v>12.18</v>
      </c>
      <c r="Y369" t="s">
        <v>39</v>
      </c>
    </row>
    <row r="370" spans="1:25" x14ac:dyDescent="0.3">
      <c r="A370" t="s">
        <v>773</v>
      </c>
      <c r="B370" t="s">
        <v>774</v>
      </c>
      <c r="C370" t="s">
        <v>658</v>
      </c>
      <c r="D370" s="1">
        <v>45318</v>
      </c>
      <c r="E370">
        <v>429</v>
      </c>
      <c r="F370" t="s">
        <v>28</v>
      </c>
      <c r="G370">
        <v>9504</v>
      </c>
      <c r="H370">
        <v>8303</v>
      </c>
      <c r="I370">
        <v>113</v>
      </c>
      <c r="J370">
        <v>172</v>
      </c>
      <c r="K370">
        <v>1634688</v>
      </c>
      <c r="L370">
        <v>164968</v>
      </c>
      <c r="M370">
        <v>1469720</v>
      </c>
      <c r="N370">
        <v>1428116</v>
      </c>
      <c r="O370">
        <v>41604</v>
      </c>
      <c r="P370">
        <v>2.83</v>
      </c>
      <c r="Q370">
        <v>10</v>
      </c>
      <c r="R370">
        <v>85530</v>
      </c>
      <c r="S370">
        <v>8.85</v>
      </c>
      <c r="T370">
        <v>44</v>
      </c>
      <c r="U370">
        <v>2.81</v>
      </c>
      <c r="V370">
        <v>117716</v>
      </c>
      <c r="W370">
        <v>2362076</v>
      </c>
      <c r="X370">
        <v>20.07</v>
      </c>
      <c r="Y370" t="s">
        <v>39</v>
      </c>
    </row>
    <row r="371" spans="1:25" x14ac:dyDescent="0.3">
      <c r="A371" t="s">
        <v>775</v>
      </c>
      <c r="B371" t="s">
        <v>776</v>
      </c>
      <c r="C371" t="s">
        <v>658</v>
      </c>
      <c r="D371" s="1">
        <v>45645</v>
      </c>
      <c r="E371">
        <v>102</v>
      </c>
      <c r="F371" t="s">
        <v>28</v>
      </c>
      <c r="G371">
        <v>9032</v>
      </c>
      <c r="H371">
        <v>5959</v>
      </c>
      <c r="I371">
        <v>55</v>
      </c>
      <c r="J371">
        <v>83</v>
      </c>
      <c r="K371">
        <v>749656</v>
      </c>
      <c r="L371">
        <v>114136</v>
      </c>
      <c r="M371">
        <v>635520</v>
      </c>
      <c r="N371">
        <v>494597</v>
      </c>
      <c r="O371">
        <v>140923</v>
      </c>
      <c r="P371">
        <v>22.17</v>
      </c>
      <c r="Q371">
        <v>4</v>
      </c>
      <c r="R371">
        <v>32512</v>
      </c>
      <c r="S371">
        <v>7.27</v>
      </c>
      <c r="T371">
        <v>26</v>
      </c>
      <c r="U371">
        <v>3.96</v>
      </c>
      <c r="V371">
        <v>449969</v>
      </c>
      <c r="W371">
        <v>5359897</v>
      </c>
      <c r="X371">
        <v>11.91</v>
      </c>
      <c r="Y371" t="s">
        <v>39</v>
      </c>
    </row>
    <row r="372" spans="1:25" x14ac:dyDescent="0.3">
      <c r="A372" t="s">
        <v>777</v>
      </c>
      <c r="B372" t="s">
        <v>778</v>
      </c>
      <c r="C372" t="s">
        <v>658</v>
      </c>
      <c r="D372" s="1">
        <v>45012</v>
      </c>
      <c r="E372">
        <v>735</v>
      </c>
      <c r="F372" t="s">
        <v>28</v>
      </c>
      <c r="G372">
        <v>11925</v>
      </c>
      <c r="H372">
        <v>5713</v>
      </c>
      <c r="I372">
        <v>96</v>
      </c>
      <c r="J372">
        <v>146</v>
      </c>
      <c r="K372">
        <v>1741050</v>
      </c>
      <c r="L372">
        <v>330925</v>
      </c>
      <c r="M372">
        <v>1410125</v>
      </c>
      <c r="N372">
        <v>834098</v>
      </c>
      <c r="O372">
        <v>576027</v>
      </c>
      <c r="P372">
        <v>40.85</v>
      </c>
      <c r="Q372">
        <v>2</v>
      </c>
      <c r="R372">
        <v>21464</v>
      </c>
      <c r="S372">
        <v>2.08</v>
      </c>
      <c r="T372">
        <v>43</v>
      </c>
      <c r="U372">
        <v>4.41</v>
      </c>
      <c r="V372">
        <v>609334</v>
      </c>
      <c r="W372">
        <v>6795903</v>
      </c>
      <c r="X372">
        <v>11.15</v>
      </c>
      <c r="Y372" t="s">
        <v>29</v>
      </c>
    </row>
    <row r="373" spans="1:25" x14ac:dyDescent="0.3">
      <c r="A373" t="s">
        <v>779</v>
      </c>
      <c r="B373" t="s">
        <v>780</v>
      </c>
      <c r="C373" t="s">
        <v>658</v>
      </c>
      <c r="D373" s="1">
        <v>45195</v>
      </c>
      <c r="E373">
        <v>552</v>
      </c>
      <c r="F373" t="s">
        <v>28</v>
      </c>
      <c r="G373">
        <v>1223</v>
      </c>
      <c r="H373">
        <v>713</v>
      </c>
      <c r="I373">
        <v>107</v>
      </c>
      <c r="J373">
        <v>163</v>
      </c>
      <c r="K373">
        <v>199349</v>
      </c>
      <c r="L373">
        <v>26050</v>
      </c>
      <c r="M373">
        <v>173299</v>
      </c>
      <c r="N373">
        <v>116219</v>
      </c>
      <c r="O373">
        <v>57080</v>
      </c>
      <c r="P373">
        <v>32.94</v>
      </c>
      <c r="Q373">
        <v>8</v>
      </c>
      <c r="R373">
        <v>8800</v>
      </c>
      <c r="S373">
        <v>7.48</v>
      </c>
      <c r="T373">
        <v>44</v>
      </c>
      <c r="U373">
        <v>4.22</v>
      </c>
      <c r="V373">
        <v>472299</v>
      </c>
      <c r="W373">
        <v>890046</v>
      </c>
      <c r="X373">
        <v>1.88</v>
      </c>
      <c r="Y373" t="s">
        <v>39</v>
      </c>
    </row>
    <row r="374" spans="1:25" x14ac:dyDescent="0.3">
      <c r="A374" t="s">
        <v>781</v>
      </c>
      <c r="B374" t="s">
        <v>782</v>
      </c>
      <c r="C374" t="s">
        <v>658</v>
      </c>
      <c r="D374" s="1">
        <v>45337</v>
      </c>
      <c r="E374">
        <v>410</v>
      </c>
      <c r="F374" t="s">
        <v>28</v>
      </c>
      <c r="G374">
        <v>18063</v>
      </c>
      <c r="H374">
        <v>13744</v>
      </c>
      <c r="I374">
        <v>67</v>
      </c>
      <c r="J374">
        <v>106</v>
      </c>
      <c r="K374">
        <v>1914678</v>
      </c>
      <c r="L374">
        <v>183203</v>
      </c>
      <c r="M374">
        <v>1731475</v>
      </c>
      <c r="N374">
        <v>1456864</v>
      </c>
      <c r="O374">
        <v>274611</v>
      </c>
      <c r="P374">
        <v>15.86</v>
      </c>
      <c r="Q374">
        <v>7</v>
      </c>
      <c r="R374">
        <v>113792</v>
      </c>
      <c r="S374">
        <v>10.45</v>
      </c>
      <c r="T374">
        <v>36</v>
      </c>
      <c r="U374">
        <v>3.43</v>
      </c>
      <c r="V374">
        <v>71815</v>
      </c>
      <c r="W374">
        <v>2984037</v>
      </c>
      <c r="X374">
        <v>41.55</v>
      </c>
      <c r="Y374" t="s">
        <v>39</v>
      </c>
    </row>
    <row r="375" spans="1:25" x14ac:dyDescent="0.3">
      <c r="A375" t="s">
        <v>783</v>
      </c>
      <c r="B375" t="s">
        <v>784</v>
      </c>
      <c r="C375" t="s">
        <v>658</v>
      </c>
      <c r="D375" s="1">
        <v>45041</v>
      </c>
      <c r="E375">
        <v>706</v>
      </c>
      <c r="F375" t="s">
        <v>28</v>
      </c>
      <c r="G375">
        <v>11169</v>
      </c>
      <c r="H375">
        <v>5438</v>
      </c>
      <c r="I375">
        <v>32</v>
      </c>
      <c r="J375">
        <v>45</v>
      </c>
      <c r="K375">
        <v>502605</v>
      </c>
      <c r="L375">
        <v>85688</v>
      </c>
      <c r="M375">
        <v>416917</v>
      </c>
      <c r="N375">
        <v>244710</v>
      </c>
      <c r="O375">
        <v>172207</v>
      </c>
      <c r="P375">
        <v>41.3</v>
      </c>
      <c r="Q375">
        <v>2</v>
      </c>
      <c r="R375">
        <v>20104</v>
      </c>
      <c r="S375">
        <v>6.25</v>
      </c>
      <c r="T375">
        <v>13</v>
      </c>
      <c r="U375">
        <v>4.42</v>
      </c>
      <c r="V375">
        <v>637279</v>
      </c>
      <c r="W375">
        <v>8848909</v>
      </c>
      <c r="X375">
        <v>13.89</v>
      </c>
      <c r="Y375" t="s">
        <v>39</v>
      </c>
    </row>
    <row r="376" spans="1:25" x14ac:dyDescent="0.3">
      <c r="A376" t="s">
        <v>785</v>
      </c>
      <c r="B376" t="s">
        <v>786</v>
      </c>
      <c r="C376" t="s">
        <v>658</v>
      </c>
      <c r="D376" s="1">
        <v>44980</v>
      </c>
      <c r="E376">
        <v>767</v>
      </c>
      <c r="F376" t="s">
        <v>28</v>
      </c>
      <c r="G376">
        <v>19521</v>
      </c>
      <c r="H376">
        <v>11378</v>
      </c>
      <c r="I376">
        <v>50</v>
      </c>
      <c r="J376">
        <v>73</v>
      </c>
      <c r="K376">
        <v>1425033</v>
      </c>
      <c r="L376">
        <v>286819</v>
      </c>
      <c r="M376">
        <v>1138214</v>
      </c>
      <c r="N376">
        <v>830594</v>
      </c>
      <c r="O376">
        <v>307620</v>
      </c>
      <c r="P376">
        <v>27.03</v>
      </c>
      <c r="Q376">
        <v>4</v>
      </c>
      <c r="R376">
        <v>70272</v>
      </c>
      <c r="S376">
        <v>8</v>
      </c>
      <c r="T376">
        <v>20</v>
      </c>
      <c r="U376">
        <v>3.93</v>
      </c>
      <c r="V376">
        <v>381711</v>
      </c>
      <c r="W376">
        <v>7116308</v>
      </c>
      <c r="X376">
        <v>18.64</v>
      </c>
      <c r="Y376" t="s">
        <v>39</v>
      </c>
    </row>
    <row r="377" spans="1:25" x14ac:dyDescent="0.3">
      <c r="A377" t="s">
        <v>787</v>
      </c>
      <c r="B377" t="s">
        <v>788</v>
      </c>
      <c r="C377" t="s">
        <v>658</v>
      </c>
      <c r="D377" s="1">
        <v>45144</v>
      </c>
      <c r="E377">
        <v>603</v>
      </c>
      <c r="F377" t="s">
        <v>28</v>
      </c>
      <c r="G377">
        <v>19501</v>
      </c>
      <c r="H377">
        <v>16664</v>
      </c>
      <c r="I377">
        <v>35</v>
      </c>
      <c r="J377">
        <v>57</v>
      </c>
      <c r="K377">
        <v>1111557</v>
      </c>
      <c r="L377">
        <v>117828</v>
      </c>
      <c r="M377">
        <v>993729</v>
      </c>
      <c r="N377">
        <v>949848</v>
      </c>
      <c r="O377">
        <v>43881</v>
      </c>
      <c r="P377">
        <v>4.42</v>
      </c>
      <c r="Q377">
        <v>2</v>
      </c>
      <c r="R377">
        <v>35100</v>
      </c>
      <c r="S377">
        <v>5.71</v>
      </c>
      <c r="T377">
        <v>12</v>
      </c>
      <c r="U377">
        <v>3</v>
      </c>
      <c r="V377">
        <v>268387</v>
      </c>
      <c r="W377">
        <v>7379081</v>
      </c>
      <c r="X377">
        <v>27.49</v>
      </c>
      <c r="Y377" t="s">
        <v>39</v>
      </c>
    </row>
    <row r="378" spans="1:25" x14ac:dyDescent="0.3">
      <c r="A378" t="s">
        <v>789</v>
      </c>
      <c r="B378" t="s">
        <v>790</v>
      </c>
      <c r="C378" t="s">
        <v>658</v>
      </c>
      <c r="D378" s="1">
        <v>45410</v>
      </c>
      <c r="E378">
        <v>337</v>
      </c>
      <c r="F378" t="s">
        <v>28</v>
      </c>
      <c r="G378">
        <v>10695</v>
      </c>
      <c r="H378">
        <v>8787</v>
      </c>
      <c r="I378">
        <v>68</v>
      </c>
      <c r="J378">
        <v>109</v>
      </c>
      <c r="K378">
        <v>1165755</v>
      </c>
      <c r="L378">
        <v>150042</v>
      </c>
      <c r="M378">
        <v>1015713</v>
      </c>
      <c r="N378">
        <v>957783</v>
      </c>
      <c r="O378">
        <v>57930</v>
      </c>
      <c r="P378">
        <v>5.7</v>
      </c>
      <c r="Q378">
        <v>5</v>
      </c>
      <c r="R378">
        <v>48125</v>
      </c>
      <c r="S378">
        <v>7.35</v>
      </c>
      <c r="T378">
        <v>27</v>
      </c>
      <c r="U378">
        <v>3.15</v>
      </c>
      <c r="V378">
        <v>593481</v>
      </c>
      <c r="W378">
        <v>5644688</v>
      </c>
      <c r="X378">
        <v>9.51</v>
      </c>
      <c r="Y378" t="s">
        <v>39</v>
      </c>
    </row>
    <row r="379" spans="1:25" x14ac:dyDescent="0.3">
      <c r="A379" t="s">
        <v>791</v>
      </c>
      <c r="B379" t="s">
        <v>792</v>
      </c>
      <c r="C379" t="s">
        <v>658</v>
      </c>
      <c r="D379" s="1">
        <v>45540</v>
      </c>
      <c r="E379">
        <v>207</v>
      </c>
      <c r="F379" t="s">
        <v>28</v>
      </c>
      <c r="G379">
        <v>12697</v>
      </c>
      <c r="H379">
        <v>9674</v>
      </c>
      <c r="I379">
        <v>40</v>
      </c>
      <c r="J379">
        <v>56</v>
      </c>
      <c r="K379">
        <v>711032</v>
      </c>
      <c r="L379">
        <v>145470</v>
      </c>
      <c r="M379">
        <v>565562</v>
      </c>
      <c r="N379">
        <v>541744</v>
      </c>
      <c r="O379">
        <v>23818</v>
      </c>
      <c r="P379">
        <v>4.21</v>
      </c>
      <c r="Q379">
        <v>1</v>
      </c>
      <c r="R379">
        <v>11427</v>
      </c>
      <c r="S379">
        <v>2.5</v>
      </c>
      <c r="T379">
        <v>16</v>
      </c>
      <c r="U379">
        <v>3.47</v>
      </c>
      <c r="V379">
        <v>419429</v>
      </c>
      <c r="W379">
        <v>3304431</v>
      </c>
      <c r="X379">
        <v>7.88</v>
      </c>
      <c r="Y379" t="s">
        <v>39</v>
      </c>
    </row>
    <row r="380" spans="1:25" x14ac:dyDescent="0.3">
      <c r="A380" t="s">
        <v>793</v>
      </c>
      <c r="B380" t="s">
        <v>794</v>
      </c>
      <c r="C380" t="s">
        <v>658</v>
      </c>
      <c r="D380" s="1">
        <v>45461</v>
      </c>
      <c r="E380">
        <v>286</v>
      </c>
      <c r="F380" t="s">
        <v>28</v>
      </c>
      <c r="G380">
        <v>10726</v>
      </c>
      <c r="H380">
        <v>5207</v>
      </c>
      <c r="I380">
        <v>88</v>
      </c>
      <c r="J380">
        <v>132</v>
      </c>
      <c r="K380">
        <v>1415832</v>
      </c>
      <c r="L380">
        <v>135942</v>
      </c>
      <c r="M380">
        <v>1279890</v>
      </c>
      <c r="N380">
        <v>687324</v>
      </c>
      <c r="O380">
        <v>592566</v>
      </c>
      <c r="P380">
        <v>46.3</v>
      </c>
      <c r="Q380">
        <v>1</v>
      </c>
      <c r="R380">
        <v>9653</v>
      </c>
      <c r="S380">
        <v>1.1399999999999999</v>
      </c>
      <c r="T380">
        <v>35</v>
      </c>
      <c r="U380">
        <v>4.1900000000000004</v>
      </c>
      <c r="V380">
        <v>53685</v>
      </c>
      <c r="W380">
        <v>1564034</v>
      </c>
      <c r="X380">
        <v>29.13</v>
      </c>
      <c r="Y380" t="s">
        <v>29</v>
      </c>
    </row>
    <row r="381" spans="1:25" x14ac:dyDescent="0.3">
      <c r="A381" t="s">
        <v>795</v>
      </c>
      <c r="B381" t="s">
        <v>796</v>
      </c>
      <c r="C381" t="s">
        <v>658</v>
      </c>
      <c r="D381" s="1">
        <v>45162</v>
      </c>
      <c r="E381">
        <v>585</v>
      </c>
      <c r="F381" t="s">
        <v>28</v>
      </c>
      <c r="G381">
        <v>8097</v>
      </c>
      <c r="H381">
        <v>6023</v>
      </c>
      <c r="I381">
        <v>67</v>
      </c>
      <c r="J381">
        <v>98</v>
      </c>
      <c r="K381">
        <v>793506</v>
      </c>
      <c r="L381">
        <v>156620</v>
      </c>
      <c r="M381">
        <v>636886</v>
      </c>
      <c r="N381">
        <v>590254</v>
      </c>
      <c r="O381">
        <v>46632</v>
      </c>
      <c r="P381">
        <v>7.32</v>
      </c>
      <c r="Q381">
        <v>2</v>
      </c>
      <c r="R381">
        <v>14574</v>
      </c>
      <c r="S381">
        <v>2.99</v>
      </c>
      <c r="T381">
        <v>23</v>
      </c>
      <c r="U381">
        <v>3.61</v>
      </c>
      <c r="V381">
        <v>399394</v>
      </c>
      <c r="W381">
        <v>3292188</v>
      </c>
      <c r="X381">
        <v>8.24</v>
      </c>
      <c r="Y381" t="s">
        <v>39</v>
      </c>
    </row>
    <row r="382" spans="1:25" x14ac:dyDescent="0.3">
      <c r="A382" t="s">
        <v>797</v>
      </c>
      <c r="B382" t="s">
        <v>798</v>
      </c>
      <c r="C382" t="s">
        <v>658</v>
      </c>
      <c r="D382" s="1">
        <v>45049</v>
      </c>
      <c r="E382">
        <v>698</v>
      </c>
      <c r="F382" t="s">
        <v>28</v>
      </c>
      <c r="G382">
        <v>14934</v>
      </c>
      <c r="H382">
        <v>13364</v>
      </c>
      <c r="I382">
        <v>82</v>
      </c>
      <c r="J382">
        <v>132</v>
      </c>
      <c r="K382">
        <v>1971288</v>
      </c>
      <c r="L382">
        <v>207993</v>
      </c>
      <c r="M382">
        <v>1763295</v>
      </c>
      <c r="N382">
        <v>1764048</v>
      </c>
      <c r="O382">
        <v>-753</v>
      </c>
      <c r="P382">
        <v>-0.04</v>
      </c>
      <c r="Q382">
        <v>3</v>
      </c>
      <c r="R382">
        <v>40320</v>
      </c>
      <c r="S382">
        <v>3.66</v>
      </c>
      <c r="T382">
        <v>30</v>
      </c>
      <c r="U382">
        <v>3.15</v>
      </c>
      <c r="V382">
        <v>203289</v>
      </c>
      <c r="W382">
        <v>4930694</v>
      </c>
      <c r="X382">
        <v>24.25</v>
      </c>
      <c r="Y382" t="s">
        <v>39</v>
      </c>
    </row>
    <row r="383" spans="1:25" x14ac:dyDescent="0.3">
      <c r="A383" t="s">
        <v>799</v>
      </c>
      <c r="B383" t="s">
        <v>800</v>
      </c>
      <c r="C383" t="s">
        <v>658</v>
      </c>
      <c r="D383" s="1">
        <v>45264</v>
      </c>
      <c r="E383">
        <v>483</v>
      </c>
      <c r="F383" t="s">
        <v>28</v>
      </c>
      <c r="G383">
        <v>12945</v>
      </c>
      <c r="H383">
        <v>9097</v>
      </c>
      <c r="I383">
        <v>104</v>
      </c>
      <c r="J383">
        <v>153</v>
      </c>
      <c r="K383">
        <v>1980585</v>
      </c>
      <c r="L383">
        <v>199642</v>
      </c>
      <c r="M383">
        <v>1780943</v>
      </c>
      <c r="N383">
        <v>1391841</v>
      </c>
      <c r="O383">
        <v>389102</v>
      </c>
      <c r="P383">
        <v>21.85</v>
      </c>
      <c r="Q383">
        <v>4</v>
      </c>
      <c r="R383">
        <v>46600</v>
      </c>
      <c r="S383">
        <v>3.85</v>
      </c>
      <c r="T383">
        <v>37</v>
      </c>
      <c r="U383">
        <v>3.89</v>
      </c>
      <c r="V383">
        <v>369015</v>
      </c>
      <c r="W383">
        <v>4639662</v>
      </c>
      <c r="X383">
        <v>12.57</v>
      </c>
      <c r="Y383" t="s">
        <v>39</v>
      </c>
    </row>
    <row r="384" spans="1:25" x14ac:dyDescent="0.3">
      <c r="A384" t="s">
        <v>801</v>
      </c>
      <c r="B384" t="s">
        <v>802</v>
      </c>
      <c r="C384" t="s">
        <v>658</v>
      </c>
      <c r="D384" s="1">
        <v>45642</v>
      </c>
      <c r="E384">
        <v>105</v>
      </c>
      <c r="F384" t="s">
        <v>28</v>
      </c>
      <c r="G384">
        <v>3622</v>
      </c>
      <c r="H384">
        <v>1908</v>
      </c>
      <c r="I384">
        <v>78</v>
      </c>
      <c r="J384">
        <v>116</v>
      </c>
      <c r="K384">
        <v>420152</v>
      </c>
      <c r="L384">
        <v>51828</v>
      </c>
      <c r="M384">
        <v>368324</v>
      </c>
      <c r="N384">
        <v>221328</v>
      </c>
      <c r="O384">
        <v>146996</v>
      </c>
      <c r="P384">
        <v>39.909999999999997</v>
      </c>
      <c r="Q384">
        <v>3</v>
      </c>
      <c r="R384">
        <v>9777</v>
      </c>
      <c r="S384">
        <v>3.85</v>
      </c>
      <c r="T384">
        <v>34</v>
      </c>
      <c r="U384">
        <v>4.3499999999999996</v>
      </c>
      <c r="V384">
        <v>323918</v>
      </c>
      <c r="W384">
        <v>1590611</v>
      </c>
      <c r="X384">
        <v>4.91</v>
      </c>
      <c r="Y384" t="s">
        <v>29</v>
      </c>
    </row>
    <row r="385" spans="1:25" x14ac:dyDescent="0.3">
      <c r="A385" t="s">
        <v>803</v>
      </c>
      <c r="B385" t="s">
        <v>804</v>
      </c>
      <c r="C385" t="s">
        <v>658</v>
      </c>
      <c r="D385" s="1">
        <v>45102</v>
      </c>
      <c r="E385">
        <v>645</v>
      </c>
      <c r="F385" t="s">
        <v>28</v>
      </c>
      <c r="G385">
        <v>9962</v>
      </c>
      <c r="H385">
        <v>8875</v>
      </c>
      <c r="I385">
        <v>58</v>
      </c>
      <c r="J385">
        <v>89</v>
      </c>
      <c r="K385">
        <v>886618</v>
      </c>
      <c r="L385">
        <v>100776</v>
      </c>
      <c r="M385">
        <v>785842</v>
      </c>
      <c r="N385">
        <v>789875</v>
      </c>
      <c r="O385">
        <v>-4033</v>
      </c>
      <c r="P385">
        <v>-0.51</v>
      </c>
      <c r="Q385">
        <v>5</v>
      </c>
      <c r="R385">
        <v>44825</v>
      </c>
      <c r="S385">
        <v>8.6199999999999992</v>
      </c>
      <c r="T385">
        <v>24</v>
      </c>
      <c r="U385">
        <v>2.88</v>
      </c>
      <c r="V385">
        <v>259252</v>
      </c>
      <c r="W385">
        <v>2360627</v>
      </c>
      <c r="X385">
        <v>9.11</v>
      </c>
      <c r="Y385" t="s">
        <v>39</v>
      </c>
    </row>
    <row r="386" spans="1:25" x14ac:dyDescent="0.3">
      <c r="A386" t="s">
        <v>805</v>
      </c>
      <c r="B386" t="s">
        <v>806</v>
      </c>
      <c r="C386" t="s">
        <v>658</v>
      </c>
      <c r="D386" s="1">
        <v>44930</v>
      </c>
      <c r="E386">
        <v>817</v>
      </c>
      <c r="F386" t="s">
        <v>28</v>
      </c>
      <c r="G386">
        <v>18224</v>
      </c>
      <c r="H386">
        <v>8677</v>
      </c>
      <c r="I386">
        <v>63</v>
      </c>
      <c r="J386">
        <v>95</v>
      </c>
      <c r="K386">
        <v>1731280</v>
      </c>
      <c r="L386">
        <v>282394</v>
      </c>
      <c r="M386">
        <v>1448886</v>
      </c>
      <c r="N386">
        <v>824315</v>
      </c>
      <c r="O386">
        <v>624571</v>
      </c>
      <c r="P386">
        <v>43.11</v>
      </c>
      <c r="Q386">
        <v>14</v>
      </c>
      <c r="R386">
        <v>229614</v>
      </c>
      <c r="S386">
        <v>22.22</v>
      </c>
      <c r="T386">
        <v>26</v>
      </c>
      <c r="U386">
        <v>4.5999999999999996</v>
      </c>
      <c r="V386">
        <v>486175</v>
      </c>
      <c r="W386">
        <v>8231594</v>
      </c>
      <c r="X386">
        <v>16.93</v>
      </c>
      <c r="Y386" t="s">
        <v>39</v>
      </c>
    </row>
    <row r="387" spans="1:25" x14ac:dyDescent="0.3">
      <c r="A387" t="s">
        <v>807</v>
      </c>
      <c r="B387" t="s">
        <v>808</v>
      </c>
      <c r="C387" t="s">
        <v>658</v>
      </c>
      <c r="D387" s="1">
        <v>44938</v>
      </c>
      <c r="E387">
        <v>809</v>
      </c>
      <c r="F387" t="s">
        <v>28</v>
      </c>
      <c r="G387">
        <v>14526</v>
      </c>
      <c r="H387">
        <v>12046</v>
      </c>
      <c r="I387">
        <v>57</v>
      </c>
      <c r="J387">
        <v>93</v>
      </c>
      <c r="K387">
        <v>1350918</v>
      </c>
      <c r="L387">
        <v>218803</v>
      </c>
      <c r="M387">
        <v>1132115</v>
      </c>
      <c r="N387">
        <v>1120278</v>
      </c>
      <c r="O387">
        <v>11837</v>
      </c>
      <c r="P387">
        <v>1.05</v>
      </c>
      <c r="Q387">
        <v>2</v>
      </c>
      <c r="R387">
        <v>26146</v>
      </c>
      <c r="S387">
        <v>3.51</v>
      </c>
      <c r="T387">
        <v>25</v>
      </c>
      <c r="U387">
        <v>3.24</v>
      </c>
      <c r="V387">
        <v>568144</v>
      </c>
      <c r="W387">
        <v>12913486</v>
      </c>
      <c r="X387">
        <v>22.73</v>
      </c>
      <c r="Y387" t="s">
        <v>39</v>
      </c>
    </row>
    <row r="388" spans="1:25" x14ac:dyDescent="0.3">
      <c r="A388" t="s">
        <v>809</v>
      </c>
      <c r="B388" t="s">
        <v>810</v>
      </c>
      <c r="C388" t="s">
        <v>658</v>
      </c>
      <c r="D388" s="1">
        <v>45139</v>
      </c>
      <c r="E388">
        <v>608</v>
      </c>
      <c r="F388" t="s">
        <v>28</v>
      </c>
      <c r="G388">
        <v>8991</v>
      </c>
      <c r="H388">
        <v>5419</v>
      </c>
      <c r="I388">
        <v>82</v>
      </c>
      <c r="J388">
        <v>126</v>
      </c>
      <c r="K388">
        <v>1132866</v>
      </c>
      <c r="L388">
        <v>182045</v>
      </c>
      <c r="M388">
        <v>950821</v>
      </c>
      <c r="N388">
        <v>682794</v>
      </c>
      <c r="O388">
        <v>268027</v>
      </c>
      <c r="P388">
        <v>28.19</v>
      </c>
      <c r="Q388">
        <v>3</v>
      </c>
      <c r="R388">
        <v>24273</v>
      </c>
      <c r="S388">
        <v>3.66</v>
      </c>
      <c r="T388">
        <v>31</v>
      </c>
      <c r="U388">
        <v>4.0999999999999996</v>
      </c>
      <c r="V388">
        <v>330986</v>
      </c>
      <c r="W388">
        <v>4311347</v>
      </c>
      <c r="X388">
        <v>13.03</v>
      </c>
      <c r="Y388" t="s">
        <v>29</v>
      </c>
    </row>
    <row r="389" spans="1:25" x14ac:dyDescent="0.3">
      <c r="A389" t="s">
        <v>811</v>
      </c>
      <c r="B389" t="s">
        <v>812</v>
      </c>
      <c r="C389" t="s">
        <v>658</v>
      </c>
      <c r="D389" s="1">
        <v>45136</v>
      </c>
      <c r="E389">
        <v>611</v>
      </c>
      <c r="F389" t="s">
        <v>28</v>
      </c>
      <c r="G389">
        <v>424</v>
      </c>
      <c r="H389">
        <v>300</v>
      </c>
      <c r="I389">
        <v>350</v>
      </c>
      <c r="J389">
        <v>514</v>
      </c>
      <c r="K389">
        <v>217936</v>
      </c>
      <c r="L389">
        <v>21742</v>
      </c>
      <c r="M389">
        <v>196194</v>
      </c>
      <c r="N389">
        <v>154200</v>
      </c>
      <c r="O389">
        <v>41994</v>
      </c>
      <c r="P389">
        <v>21.4</v>
      </c>
      <c r="Q389">
        <v>33</v>
      </c>
      <c r="R389">
        <v>12573</v>
      </c>
      <c r="S389">
        <v>9.43</v>
      </c>
      <c r="T389">
        <v>141</v>
      </c>
      <c r="U389">
        <v>3.63</v>
      </c>
      <c r="V389">
        <v>338878</v>
      </c>
      <c r="W389">
        <v>214655</v>
      </c>
      <c r="X389">
        <v>0.63</v>
      </c>
      <c r="Y389" t="s">
        <v>39</v>
      </c>
    </row>
    <row r="390" spans="1:25" x14ac:dyDescent="0.3">
      <c r="A390" t="s">
        <v>813</v>
      </c>
      <c r="B390" t="s">
        <v>814</v>
      </c>
      <c r="C390" t="s">
        <v>658</v>
      </c>
      <c r="D390" s="1">
        <v>45319</v>
      </c>
      <c r="E390">
        <v>428</v>
      </c>
      <c r="F390" t="s">
        <v>28</v>
      </c>
      <c r="G390">
        <v>9861</v>
      </c>
      <c r="H390">
        <v>4539</v>
      </c>
      <c r="I390">
        <v>71</v>
      </c>
      <c r="J390">
        <v>110</v>
      </c>
      <c r="K390">
        <v>1084710</v>
      </c>
      <c r="L390">
        <v>191137</v>
      </c>
      <c r="M390">
        <v>893573</v>
      </c>
      <c r="N390">
        <v>499290</v>
      </c>
      <c r="O390">
        <v>394283</v>
      </c>
      <c r="P390">
        <v>44.12</v>
      </c>
      <c r="Q390">
        <v>6</v>
      </c>
      <c r="R390">
        <v>53244</v>
      </c>
      <c r="S390">
        <v>8.4499999999999993</v>
      </c>
      <c r="T390">
        <v>34</v>
      </c>
      <c r="U390">
        <v>4.5599999999999996</v>
      </c>
      <c r="V390">
        <v>310605</v>
      </c>
      <c r="W390">
        <v>4131841</v>
      </c>
      <c r="X390">
        <v>13.3</v>
      </c>
      <c r="Y390" t="s">
        <v>39</v>
      </c>
    </row>
    <row r="391" spans="1:25" x14ac:dyDescent="0.3">
      <c r="A391" t="s">
        <v>815</v>
      </c>
      <c r="B391" t="s">
        <v>816</v>
      </c>
      <c r="C391" t="s">
        <v>658</v>
      </c>
      <c r="D391" s="1">
        <v>45231</v>
      </c>
      <c r="E391">
        <v>516</v>
      </c>
      <c r="F391" t="s">
        <v>28</v>
      </c>
      <c r="G391">
        <v>3285</v>
      </c>
      <c r="H391">
        <v>2007</v>
      </c>
      <c r="I391">
        <v>91</v>
      </c>
      <c r="J391">
        <v>144</v>
      </c>
      <c r="K391">
        <v>473040</v>
      </c>
      <c r="L391">
        <v>63277</v>
      </c>
      <c r="M391">
        <v>409763</v>
      </c>
      <c r="N391">
        <v>289008</v>
      </c>
      <c r="O391">
        <v>120755</v>
      </c>
      <c r="P391">
        <v>29.47</v>
      </c>
      <c r="Q391">
        <v>12</v>
      </c>
      <c r="R391">
        <v>35472</v>
      </c>
      <c r="S391">
        <v>13.19</v>
      </c>
      <c r="T391">
        <v>36</v>
      </c>
      <c r="U391">
        <v>4.07</v>
      </c>
      <c r="V391">
        <v>417073</v>
      </c>
      <c r="W391">
        <v>1441284</v>
      </c>
      <c r="X391">
        <v>3.46</v>
      </c>
      <c r="Y391" t="s">
        <v>39</v>
      </c>
    </row>
    <row r="392" spans="1:25" x14ac:dyDescent="0.3">
      <c r="A392" t="s">
        <v>817</v>
      </c>
      <c r="B392" t="s">
        <v>818</v>
      </c>
      <c r="C392" t="s">
        <v>819</v>
      </c>
      <c r="D392" s="1">
        <v>45110</v>
      </c>
      <c r="E392">
        <v>637</v>
      </c>
      <c r="F392" t="s">
        <v>28</v>
      </c>
      <c r="G392">
        <v>15538</v>
      </c>
      <c r="H392">
        <v>12142</v>
      </c>
      <c r="I392">
        <v>66</v>
      </c>
      <c r="J392">
        <v>91</v>
      </c>
      <c r="K392">
        <v>1413958</v>
      </c>
      <c r="L392">
        <v>231461</v>
      </c>
      <c r="M392">
        <v>1182497</v>
      </c>
      <c r="N392">
        <v>1104922</v>
      </c>
      <c r="O392">
        <v>77575</v>
      </c>
      <c r="P392">
        <v>6.56</v>
      </c>
      <c r="Q392">
        <v>6</v>
      </c>
      <c r="R392">
        <v>83904</v>
      </c>
      <c r="S392">
        <v>9.09</v>
      </c>
      <c r="T392">
        <v>29</v>
      </c>
      <c r="U392">
        <v>3.52</v>
      </c>
      <c r="V392">
        <v>247942</v>
      </c>
      <c r="W392">
        <v>5593281</v>
      </c>
      <c r="X392">
        <v>22.56</v>
      </c>
      <c r="Y392" t="s">
        <v>39</v>
      </c>
    </row>
    <row r="393" spans="1:25" x14ac:dyDescent="0.3">
      <c r="A393" t="s">
        <v>820</v>
      </c>
      <c r="B393" t="s">
        <v>821</v>
      </c>
      <c r="C393" t="s">
        <v>819</v>
      </c>
      <c r="D393" s="1">
        <v>45609</v>
      </c>
      <c r="E393">
        <v>138</v>
      </c>
      <c r="F393" t="s">
        <v>28</v>
      </c>
      <c r="G393">
        <v>18041</v>
      </c>
      <c r="H393">
        <v>12875</v>
      </c>
      <c r="I393">
        <v>83</v>
      </c>
      <c r="J393">
        <v>129</v>
      </c>
      <c r="K393">
        <v>2327289</v>
      </c>
      <c r="L393">
        <v>377008</v>
      </c>
      <c r="M393">
        <v>1950281</v>
      </c>
      <c r="N393">
        <v>1660875</v>
      </c>
      <c r="O393">
        <v>289406</v>
      </c>
      <c r="P393">
        <v>14.84</v>
      </c>
      <c r="Q393">
        <v>7</v>
      </c>
      <c r="R393">
        <v>113652</v>
      </c>
      <c r="S393">
        <v>8.43</v>
      </c>
      <c r="T393">
        <v>35</v>
      </c>
      <c r="U393">
        <v>3.86</v>
      </c>
      <c r="V393">
        <v>633298</v>
      </c>
      <c r="W393">
        <v>13086630</v>
      </c>
      <c r="X393">
        <v>20.66</v>
      </c>
      <c r="Y393" t="s">
        <v>39</v>
      </c>
    </row>
    <row r="394" spans="1:25" x14ac:dyDescent="0.3">
      <c r="A394" t="s">
        <v>822</v>
      </c>
      <c r="B394" t="s">
        <v>823</v>
      </c>
      <c r="C394" t="s">
        <v>819</v>
      </c>
      <c r="D394" s="1">
        <v>45076</v>
      </c>
      <c r="E394">
        <v>671</v>
      </c>
      <c r="F394" t="s">
        <v>28</v>
      </c>
      <c r="G394">
        <v>15858</v>
      </c>
      <c r="H394">
        <v>10185</v>
      </c>
      <c r="I394">
        <v>40</v>
      </c>
      <c r="J394">
        <v>61</v>
      </c>
      <c r="K394">
        <v>967338</v>
      </c>
      <c r="L394">
        <v>131153</v>
      </c>
      <c r="M394">
        <v>836185</v>
      </c>
      <c r="N394">
        <v>621285</v>
      </c>
      <c r="O394">
        <v>214900</v>
      </c>
      <c r="P394">
        <v>25.7</v>
      </c>
      <c r="Q394">
        <v>3</v>
      </c>
      <c r="R394">
        <v>42816</v>
      </c>
      <c r="S394">
        <v>7.5</v>
      </c>
      <c r="T394">
        <v>17</v>
      </c>
      <c r="U394">
        <v>3.97</v>
      </c>
      <c r="V394">
        <v>490943</v>
      </c>
      <c r="W394">
        <v>10465665</v>
      </c>
      <c r="X394">
        <v>21.32</v>
      </c>
      <c r="Y394" t="s">
        <v>39</v>
      </c>
    </row>
    <row r="395" spans="1:25" x14ac:dyDescent="0.3">
      <c r="A395" t="s">
        <v>824</v>
      </c>
      <c r="B395" t="s">
        <v>825</v>
      </c>
      <c r="C395" t="s">
        <v>819</v>
      </c>
      <c r="D395" s="1">
        <v>45528</v>
      </c>
      <c r="E395">
        <v>219</v>
      </c>
      <c r="F395" t="s">
        <v>28</v>
      </c>
      <c r="G395">
        <v>17234</v>
      </c>
      <c r="H395">
        <v>9302</v>
      </c>
      <c r="I395">
        <v>56</v>
      </c>
      <c r="J395">
        <v>79</v>
      </c>
      <c r="K395">
        <v>1361486</v>
      </c>
      <c r="L395">
        <v>210348</v>
      </c>
      <c r="M395">
        <v>1151138</v>
      </c>
      <c r="N395">
        <v>734858</v>
      </c>
      <c r="O395">
        <v>416280</v>
      </c>
      <c r="P395">
        <v>36.159999999999997</v>
      </c>
      <c r="Q395">
        <v>2</v>
      </c>
      <c r="R395">
        <v>31020</v>
      </c>
      <c r="S395">
        <v>3.57</v>
      </c>
      <c r="T395">
        <v>24</v>
      </c>
      <c r="U395">
        <v>4.17</v>
      </c>
      <c r="V395">
        <v>195598</v>
      </c>
      <c r="W395">
        <v>4405730</v>
      </c>
      <c r="X395">
        <v>22.52</v>
      </c>
      <c r="Y395" t="s">
        <v>29</v>
      </c>
    </row>
    <row r="396" spans="1:25" x14ac:dyDescent="0.3">
      <c r="A396" t="s">
        <v>826</v>
      </c>
      <c r="B396" t="s">
        <v>827</v>
      </c>
      <c r="C396" t="s">
        <v>819</v>
      </c>
      <c r="D396" s="1">
        <v>44964</v>
      </c>
      <c r="E396">
        <v>783</v>
      </c>
      <c r="F396" t="s">
        <v>28</v>
      </c>
      <c r="G396">
        <v>7242</v>
      </c>
      <c r="H396">
        <v>3883</v>
      </c>
      <c r="I396">
        <v>119</v>
      </c>
      <c r="J396">
        <v>187</v>
      </c>
      <c r="K396">
        <v>1354254</v>
      </c>
      <c r="L396">
        <v>226673</v>
      </c>
      <c r="M396">
        <v>1127581</v>
      </c>
      <c r="N396">
        <v>726121</v>
      </c>
      <c r="O396">
        <v>401460</v>
      </c>
      <c r="P396">
        <v>35.6</v>
      </c>
      <c r="Q396">
        <v>5</v>
      </c>
      <c r="R396">
        <v>32585</v>
      </c>
      <c r="S396">
        <v>4.2</v>
      </c>
      <c r="T396">
        <v>56</v>
      </c>
      <c r="U396">
        <v>4.25</v>
      </c>
      <c r="V396">
        <v>165499</v>
      </c>
      <c r="W396">
        <v>378167</v>
      </c>
      <c r="X396">
        <v>2.29</v>
      </c>
      <c r="Y396" t="s">
        <v>29</v>
      </c>
    </row>
    <row r="397" spans="1:25" x14ac:dyDescent="0.3">
      <c r="A397" t="s">
        <v>828</v>
      </c>
      <c r="B397" t="s">
        <v>829</v>
      </c>
      <c r="C397" t="s">
        <v>819</v>
      </c>
      <c r="D397" s="1">
        <v>45579</v>
      </c>
      <c r="E397">
        <v>168</v>
      </c>
      <c r="F397" t="s">
        <v>28</v>
      </c>
      <c r="G397">
        <v>19797</v>
      </c>
      <c r="H397">
        <v>15519</v>
      </c>
      <c r="I397">
        <v>66</v>
      </c>
      <c r="J397">
        <v>100</v>
      </c>
      <c r="K397">
        <v>1979700</v>
      </c>
      <c r="L397">
        <v>367009</v>
      </c>
      <c r="M397">
        <v>1612691</v>
      </c>
      <c r="N397">
        <v>1551900</v>
      </c>
      <c r="O397">
        <v>60791</v>
      </c>
      <c r="P397">
        <v>3.77</v>
      </c>
      <c r="Q397">
        <v>1</v>
      </c>
      <c r="R397">
        <v>17817</v>
      </c>
      <c r="S397">
        <v>1.52</v>
      </c>
      <c r="T397">
        <v>27</v>
      </c>
      <c r="U397">
        <v>3.28</v>
      </c>
      <c r="V397">
        <v>435789</v>
      </c>
      <c r="W397">
        <v>12117421</v>
      </c>
      <c r="X397">
        <v>27.81</v>
      </c>
      <c r="Y397" t="s">
        <v>39</v>
      </c>
    </row>
    <row r="398" spans="1:25" x14ac:dyDescent="0.3">
      <c r="A398" t="s">
        <v>830</v>
      </c>
      <c r="B398" t="s">
        <v>831</v>
      </c>
      <c r="C398" t="s">
        <v>819</v>
      </c>
      <c r="D398" s="1">
        <v>44847</v>
      </c>
      <c r="E398">
        <v>900</v>
      </c>
      <c r="F398" t="s">
        <v>28</v>
      </c>
      <c r="G398">
        <v>17328</v>
      </c>
      <c r="H398">
        <v>12022</v>
      </c>
      <c r="I398">
        <v>69</v>
      </c>
      <c r="J398">
        <v>100</v>
      </c>
      <c r="K398">
        <v>1732800</v>
      </c>
      <c r="L398">
        <v>200553</v>
      </c>
      <c r="M398">
        <v>1532247</v>
      </c>
      <c r="N398">
        <v>1202200</v>
      </c>
      <c r="O398">
        <v>330047</v>
      </c>
      <c r="P398">
        <v>21.54</v>
      </c>
      <c r="Q398">
        <v>1</v>
      </c>
      <c r="R398">
        <v>15595</v>
      </c>
      <c r="S398">
        <v>1.45</v>
      </c>
      <c r="T398">
        <v>30</v>
      </c>
      <c r="U398">
        <v>3.47</v>
      </c>
      <c r="V398">
        <v>519050</v>
      </c>
      <c r="W398">
        <v>9660103</v>
      </c>
      <c r="X398">
        <v>18.61</v>
      </c>
      <c r="Y398" t="s">
        <v>39</v>
      </c>
    </row>
    <row r="399" spans="1:25" x14ac:dyDescent="0.3">
      <c r="A399" t="s">
        <v>832</v>
      </c>
      <c r="B399" t="s">
        <v>833</v>
      </c>
      <c r="C399" t="s">
        <v>819</v>
      </c>
      <c r="D399" s="1">
        <v>45431</v>
      </c>
      <c r="E399">
        <v>316</v>
      </c>
      <c r="F399" t="s">
        <v>28</v>
      </c>
      <c r="G399">
        <v>5155</v>
      </c>
      <c r="H399">
        <v>3325</v>
      </c>
      <c r="I399">
        <v>83</v>
      </c>
      <c r="J399">
        <v>128</v>
      </c>
      <c r="K399">
        <v>659840</v>
      </c>
      <c r="L399">
        <v>114669</v>
      </c>
      <c r="M399">
        <v>545171</v>
      </c>
      <c r="N399">
        <v>425600</v>
      </c>
      <c r="O399">
        <v>119571</v>
      </c>
      <c r="P399">
        <v>21.93</v>
      </c>
      <c r="Q399">
        <v>9</v>
      </c>
      <c r="R399">
        <v>41751</v>
      </c>
      <c r="S399">
        <v>10.84</v>
      </c>
      <c r="T399">
        <v>36</v>
      </c>
      <c r="U399">
        <v>3.67</v>
      </c>
      <c r="V399">
        <v>112754</v>
      </c>
      <c r="W399">
        <v>1034737</v>
      </c>
      <c r="X399">
        <v>9.18</v>
      </c>
      <c r="Y399" t="s">
        <v>39</v>
      </c>
    </row>
    <row r="400" spans="1:25" x14ac:dyDescent="0.3">
      <c r="A400" t="s">
        <v>834</v>
      </c>
      <c r="B400" t="s">
        <v>835</v>
      </c>
      <c r="C400" t="s">
        <v>819</v>
      </c>
      <c r="D400" s="1">
        <v>45255</v>
      </c>
      <c r="E400">
        <v>492</v>
      </c>
      <c r="F400" t="s">
        <v>28</v>
      </c>
      <c r="G400">
        <v>17850</v>
      </c>
      <c r="H400">
        <v>8995</v>
      </c>
      <c r="I400">
        <v>32</v>
      </c>
      <c r="J400">
        <v>47</v>
      </c>
      <c r="K400">
        <v>838950</v>
      </c>
      <c r="L400">
        <v>145188</v>
      </c>
      <c r="M400">
        <v>693762</v>
      </c>
      <c r="N400">
        <v>422765</v>
      </c>
      <c r="O400">
        <v>270997</v>
      </c>
      <c r="P400">
        <v>39.06</v>
      </c>
      <c r="Q400">
        <v>6</v>
      </c>
      <c r="R400">
        <v>96390</v>
      </c>
      <c r="S400">
        <v>18.75</v>
      </c>
      <c r="T400">
        <v>9</v>
      </c>
      <c r="U400">
        <v>4.6100000000000003</v>
      </c>
      <c r="V400">
        <v>442675</v>
      </c>
      <c r="W400">
        <v>10352322</v>
      </c>
      <c r="X400">
        <v>23.39</v>
      </c>
      <c r="Y400" t="s">
        <v>39</v>
      </c>
    </row>
    <row r="401" spans="1:25" x14ac:dyDescent="0.3">
      <c r="A401" t="s">
        <v>836</v>
      </c>
      <c r="B401" t="s">
        <v>837</v>
      </c>
      <c r="C401" t="s">
        <v>819</v>
      </c>
      <c r="D401" s="1">
        <v>45458</v>
      </c>
      <c r="E401">
        <v>289</v>
      </c>
      <c r="F401" t="s">
        <v>28</v>
      </c>
      <c r="G401">
        <v>13503</v>
      </c>
      <c r="H401">
        <v>11278</v>
      </c>
      <c r="I401">
        <v>50</v>
      </c>
      <c r="J401">
        <v>78</v>
      </c>
      <c r="K401">
        <v>1053234</v>
      </c>
      <c r="L401">
        <v>118610</v>
      </c>
      <c r="M401">
        <v>934624</v>
      </c>
      <c r="N401">
        <v>879684</v>
      </c>
      <c r="O401">
        <v>54940</v>
      </c>
      <c r="P401">
        <v>5.88</v>
      </c>
      <c r="Q401">
        <v>0</v>
      </c>
      <c r="R401">
        <v>0</v>
      </c>
      <c r="S401">
        <v>0</v>
      </c>
      <c r="T401">
        <v>20</v>
      </c>
      <c r="U401">
        <v>2.95</v>
      </c>
      <c r="V401">
        <v>517795</v>
      </c>
      <c r="W401">
        <v>10235111</v>
      </c>
      <c r="X401">
        <v>19.77</v>
      </c>
      <c r="Y401" t="s">
        <v>39</v>
      </c>
    </row>
    <row r="402" spans="1:25" x14ac:dyDescent="0.3">
      <c r="A402" t="s">
        <v>838</v>
      </c>
      <c r="B402" t="s">
        <v>839</v>
      </c>
      <c r="C402" t="s">
        <v>819</v>
      </c>
      <c r="D402" s="1">
        <v>45216</v>
      </c>
      <c r="E402">
        <v>531</v>
      </c>
      <c r="F402" t="s">
        <v>28</v>
      </c>
      <c r="G402">
        <v>15870</v>
      </c>
      <c r="H402">
        <v>7706</v>
      </c>
      <c r="I402">
        <v>74</v>
      </c>
      <c r="J402">
        <v>107</v>
      </c>
      <c r="K402">
        <v>1698090</v>
      </c>
      <c r="L402">
        <v>328780</v>
      </c>
      <c r="M402">
        <v>1369310</v>
      </c>
      <c r="N402">
        <v>824542</v>
      </c>
      <c r="O402">
        <v>544768</v>
      </c>
      <c r="P402">
        <v>39.78</v>
      </c>
      <c r="Q402">
        <v>3</v>
      </c>
      <c r="R402">
        <v>42849</v>
      </c>
      <c r="S402">
        <v>4.05</v>
      </c>
      <c r="T402">
        <v>29</v>
      </c>
      <c r="U402">
        <v>4.62</v>
      </c>
      <c r="V402">
        <v>249621</v>
      </c>
      <c r="W402">
        <v>4493791</v>
      </c>
      <c r="X402">
        <v>18</v>
      </c>
      <c r="Y402" t="s">
        <v>29</v>
      </c>
    </row>
    <row r="403" spans="1:25" x14ac:dyDescent="0.3">
      <c r="A403" t="s">
        <v>840</v>
      </c>
      <c r="B403" t="s">
        <v>841</v>
      </c>
      <c r="C403" t="s">
        <v>819</v>
      </c>
      <c r="D403" s="1">
        <v>45068</v>
      </c>
      <c r="E403">
        <v>679</v>
      </c>
      <c r="F403" t="s">
        <v>28</v>
      </c>
      <c r="G403">
        <v>3517</v>
      </c>
      <c r="H403">
        <v>1626</v>
      </c>
      <c r="I403">
        <v>135</v>
      </c>
      <c r="J403">
        <v>197</v>
      </c>
      <c r="K403">
        <v>692849</v>
      </c>
      <c r="L403">
        <v>122342</v>
      </c>
      <c r="M403">
        <v>570507</v>
      </c>
      <c r="N403">
        <v>320322</v>
      </c>
      <c r="O403">
        <v>250185</v>
      </c>
      <c r="P403">
        <v>43.85</v>
      </c>
      <c r="Q403">
        <v>3</v>
      </c>
      <c r="R403">
        <v>9495</v>
      </c>
      <c r="S403">
        <v>2.2200000000000002</v>
      </c>
      <c r="T403">
        <v>55</v>
      </c>
      <c r="U403">
        <v>4.49</v>
      </c>
      <c r="V403">
        <v>407082</v>
      </c>
      <c r="W403">
        <v>792681</v>
      </c>
      <c r="X403">
        <v>1.95</v>
      </c>
      <c r="Y403" t="s">
        <v>29</v>
      </c>
    </row>
    <row r="404" spans="1:25" x14ac:dyDescent="0.3">
      <c r="A404" t="s">
        <v>842</v>
      </c>
      <c r="B404" t="s">
        <v>843</v>
      </c>
      <c r="C404" t="s">
        <v>819</v>
      </c>
      <c r="D404" s="1">
        <v>45051</v>
      </c>
      <c r="E404">
        <v>696</v>
      </c>
      <c r="F404" t="s">
        <v>28</v>
      </c>
      <c r="G404">
        <v>3224</v>
      </c>
      <c r="H404">
        <v>2628</v>
      </c>
      <c r="I404">
        <v>137</v>
      </c>
      <c r="J404">
        <v>195</v>
      </c>
      <c r="K404">
        <v>628680</v>
      </c>
      <c r="L404">
        <v>66207</v>
      </c>
      <c r="M404">
        <v>562473</v>
      </c>
      <c r="N404">
        <v>512460</v>
      </c>
      <c r="O404">
        <v>50013</v>
      </c>
      <c r="P404">
        <v>8.89</v>
      </c>
      <c r="Q404">
        <v>9</v>
      </c>
      <c r="R404">
        <v>26109</v>
      </c>
      <c r="S404">
        <v>6.57</v>
      </c>
      <c r="T404">
        <v>59</v>
      </c>
      <c r="U404">
        <v>3.25</v>
      </c>
      <c r="V404">
        <v>442115</v>
      </c>
      <c r="W404">
        <v>1676218</v>
      </c>
      <c r="X404">
        <v>3.79</v>
      </c>
      <c r="Y404" t="s">
        <v>39</v>
      </c>
    </row>
    <row r="405" spans="1:25" x14ac:dyDescent="0.3">
      <c r="A405" t="s">
        <v>844</v>
      </c>
      <c r="B405" t="s">
        <v>845</v>
      </c>
      <c r="C405" t="s">
        <v>819</v>
      </c>
      <c r="D405" s="1">
        <v>44902</v>
      </c>
      <c r="E405">
        <v>845</v>
      </c>
      <c r="F405" t="s">
        <v>28</v>
      </c>
      <c r="G405">
        <v>17183</v>
      </c>
      <c r="H405">
        <v>9344</v>
      </c>
      <c r="I405">
        <v>40</v>
      </c>
      <c r="J405">
        <v>58</v>
      </c>
      <c r="K405">
        <v>996614</v>
      </c>
      <c r="L405">
        <v>172065</v>
      </c>
      <c r="M405">
        <v>824549</v>
      </c>
      <c r="N405">
        <v>541952</v>
      </c>
      <c r="O405">
        <v>282597</v>
      </c>
      <c r="P405">
        <v>34.270000000000003</v>
      </c>
      <c r="Q405">
        <v>3</v>
      </c>
      <c r="R405">
        <v>46392</v>
      </c>
      <c r="S405">
        <v>7.5</v>
      </c>
      <c r="T405">
        <v>18</v>
      </c>
      <c r="U405">
        <v>4.28</v>
      </c>
      <c r="V405">
        <v>591019</v>
      </c>
      <c r="W405">
        <v>14724428</v>
      </c>
      <c r="X405">
        <v>24.91</v>
      </c>
      <c r="Y405" t="s">
        <v>39</v>
      </c>
    </row>
    <row r="406" spans="1:25" x14ac:dyDescent="0.3">
      <c r="A406" t="s">
        <v>846</v>
      </c>
      <c r="B406" t="s">
        <v>847</v>
      </c>
      <c r="C406" t="s">
        <v>819</v>
      </c>
      <c r="D406" s="1">
        <v>45040</v>
      </c>
      <c r="E406">
        <v>707</v>
      </c>
      <c r="F406" t="s">
        <v>28</v>
      </c>
      <c r="G406">
        <v>5992</v>
      </c>
      <c r="H406">
        <v>4873</v>
      </c>
      <c r="I406">
        <v>135</v>
      </c>
      <c r="J406">
        <v>201</v>
      </c>
      <c r="K406">
        <v>1204392</v>
      </c>
      <c r="L406">
        <v>141210</v>
      </c>
      <c r="M406">
        <v>1063182</v>
      </c>
      <c r="N406">
        <v>979473</v>
      </c>
      <c r="O406">
        <v>83709</v>
      </c>
      <c r="P406">
        <v>7.87</v>
      </c>
      <c r="Q406">
        <v>16</v>
      </c>
      <c r="R406">
        <v>86272</v>
      </c>
      <c r="S406">
        <v>11.85</v>
      </c>
      <c r="T406">
        <v>51</v>
      </c>
      <c r="U406">
        <v>3.09</v>
      </c>
      <c r="V406">
        <v>485509</v>
      </c>
      <c r="W406">
        <v>4109189</v>
      </c>
      <c r="X406">
        <v>8.4600000000000009</v>
      </c>
      <c r="Y406" t="s">
        <v>39</v>
      </c>
    </row>
    <row r="407" spans="1:25" x14ac:dyDescent="0.3">
      <c r="A407" t="s">
        <v>848</v>
      </c>
      <c r="B407" t="s">
        <v>849</v>
      </c>
      <c r="C407" t="s">
        <v>819</v>
      </c>
      <c r="D407" s="1">
        <v>45352</v>
      </c>
      <c r="E407">
        <v>395</v>
      </c>
      <c r="F407" t="s">
        <v>28</v>
      </c>
      <c r="G407">
        <v>12369</v>
      </c>
      <c r="H407">
        <v>6548</v>
      </c>
      <c r="I407">
        <v>56</v>
      </c>
      <c r="J407">
        <v>84</v>
      </c>
      <c r="K407">
        <v>1038996</v>
      </c>
      <c r="L407">
        <v>180698</v>
      </c>
      <c r="M407">
        <v>858298</v>
      </c>
      <c r="N407">
        <v>550032</v>
      </c>
      <c r="O407">
        <v>308266</v>
      </c>
      <c r="P407">
        <v>35.92</v>
      </c>
      <c r="Q407">
        <v>3</v>
      </c>
      <c r="R407">
        <v>33396</v>
      </c>
      <c r="S407">
        <v>5.36</v>
      </c>
      <c r="T407">
        <v>17</v>
      </c>
      <c r="U407">
        <v>4.32</v>
      </c>
      <c r="V407">
        <v>577028</v>
      </c>
      <c r="W407">
        <v>7014706</v>
      </c>
      <c r="X407">
        <v>12.16</v>
      </c>
      <c r="Y407" t="s">
        <v>39</v>
      </c>
    </row>
    <row r="408" spans="1:25" x14ac:dyDescent="0.3">
      <c r="A408" t="s">
        <v>850</v>
      </c>
      <c r="B408" t="s">
        <v>851</v>
      </c>
      <c r="C408" t="s">
        <v>819</v>
      </c>
      <c r="D408" s="1">
        <v>45320</v>
      </c>
      <c r="E408">
        <v>427</v>
      </c>
      <c r="F408" t="s">
        <v>28</v>
      </c>
      <c r="G408">
        <v>14916</v>
      </c>
      <c r="H408">
        <v>12232</v>
      </c>
      <c r="I408">
        <v>90</v>
      </c>
      <c r="J408">
        <v>135</v>
      </c>
      <c r="K408">
        <v>2013660</v>
      </c>
      <c r="L408">
        <v>344587</v>
      </c>
      <c r="M408">
        <v>1669073</v>
      </c>
      <c r="N408">
        <v>1651320</v>
      </c>
      <c r="O408">
        <v>17753</v>
      </c>
      <c r="P408">
        <v>1.06</v>
      </c>
      <c r="Q408">
        <v>1</v>
      </c>
      <c r="R408">
        <v>13424</v>
      </c>
      <c r="S408">
        <v>1.1100000000000001</v>
      </c>
      <c r="T408">
        <v>36</v>
      </c>
      <c r="U408">
        <v>3.35</v>
      </c>
      <c r="V408">
        <v>335265</v>
      </c>
      <c r="W408">
        <v>7084361</v>
      </c>
      <c r="X408">
        <v>21.13</v>
      </c>
      <c r="Y408" t="s">
        <v>39</v>
      </c>
    </row>
    <row r="409" spans="1:25" x14ac:dyDescent="0.3">
      <c r="A409" t="s">
        <v>852</v>
      </c>
      <c r="B409" t="s">
        <v>853</v>
      </c>
      <c r="C409" t="s">
        <v>819</v>
      </c>
      <c r="D409" s="1">
        <v>44885</v>
      </c>
      <c r="E409">
        <v>862</v>
      </c>
      <c r="F409" t="s">
        <v>28</v>
      </c>
      <c r="G409">
        <v>9640</v>
      </c>
      <c r="H409">
        <v>8556</v>
      </c>
      <c r="I409">
        <v>99</v>
      </c>
      <c r="J409">
        <v>141</v>
      </c>
      <c r="K409">
        <v>1359240</v>
      </c>
      <c r="L409">
        <v>226406</v>
      </c>
      <c r="M409">
        <v>1132834</v>
      </c>
      <c r="N409">
        <v>1206396</v>
      </c>
      <c r="O409">
        <v>-73562</v>
      </c>
      <c r="P409">
        <v>-6.49</v>
      </c>
      <c r="Q409">
        <v>5</v>
      </c>
      <c r="R409">
        <v>43380</v>
      </c>
      <c r="S409">
        <v>5.05</v>
      </c>
      <c r="T409">
        <v>29</v>
      </c>
      <c r="U409">
        <v>2.97</v>
      </c>
      <c r="V409">
        <v>406224</v>
      </c>
      <c r="W409">
        <v>3325351</v>
      </c>
      <c r="X409">
        <v>8.19</v>
      </c>
      <c r="Y409" t="s">
        <v>39</v>
      </c>
    </row>
    <row r="410" spans="1:25" x14ac:dyDescent="0.3">
      <c r="A410" t="s">
        <v>854</v>
      </c>
      <c r="B410" t="s">
        <v>855</v>
      </c>
      <c r="C410" t="s">
        <v>819</v>
      </c>
      <c r="D410" s="1">
        <v>45360</v>
      </c>
      <c r="E410">
        <v>387</v>
      </c>
      <c r="F410" t="s">
        <v>28</v>
      </c>
      <c r="G410">
        <v>9116</v>
      </c>
      <c r="H410">
        <v>5531</v>
      </c>
      <c r="I410">
        <v>89</v>
      </c>
      <c r="J410">
        <v>136</v>
      </c>
      <c r="K410">
        <v>1239776</v>
      </c>
      <c r="L410">
        <v>226044</v>
      </c>
      <c r="M410">
        <v>1013732</v>
      </c>
      <c r="N410">
        <v>752216</v>
      </c>
      <c r="O410">
        <v>261516</v>
      </c>
      <c r="P410">
        <v>25.8</v>
      </c>
      <c r="Q410">
        <v>9</v>
      </c>
      <c r="R410">
        <v>73836</v>
      </c>
      <c r="S410">
        <v>10.11</v>
      </c>
      <c r="T410">
        <v>38</v>
      </c>
      <c r="U410">
        <v>3.86</v>
      </c>
      <c r="V410">
        <v>27570</v>
      </c>
      <c r="W410">
        <v>2352974</v>
      </c>
      <c r="X410">
        <v>85.35</v>
      </c>
      <c r="Y410" t="s">
        <v>39</v>
      </c>
    </row>
    <row r="411" spans="1:25" x14ac:dyDescent="0.3">
      <c r="A411" t="s">
        <v>856</v>
      </c>
      <c r="B411" t="s">
        <v>857</v>
      </c>
      <c r="C411" t="s">
        <v>819</v>
      </c>
      <c r="D411" s="1">
        <v>44843</v>
      </c>
      <c r="E411">
        <v>904</v>
      </c>
      <c r="F411" t="s">
        <v>28</v>
      </c>
      <c r="G411">
        <v>5974</v>
      </c>
      <c r="H411">
        <v>3760</v>
      </c>
      <c r="I411">
        <v>112</v>
      </c>
      <c r="J411">
        <v>170</v>
      </c>
      <c r="K411">
        <v>1015580</v>
      </c>
      <c r="L411">
        <v>137665</v>
      </c>
      <c r="M411">
        <v>877915</v>
      </c>
      <c r="N411">
        <v>639200</v>
      </c>
      <c r="O411">
        <v>238715</v>
      </c>
      <c r="P411">
        <v>27.19</v>
      </c>
      <c r="Q411">
        <v>7</v>
      </c>
      <c r="R411">
        <v>37632</v>
      </c>
      <c r="S411">
        <v>6.25</v>
      </c>
      <c r="T411">
        <v>52</v>
      </c>
      <c r="U411">
        <v>3.92</v>
      </c>
      <c r="V411">
        <v>535096</v>
      </c>
      <c r="W411">
        <v>2891928</v>
      </c>
      <c r="X411">
        <v>5.4</v>
      </c>
      <c r="Y411" t="s">
        <v>39</v>
      </c>
    </row>
    <row r="412" spans="1:25" x14ac:dyDescent="0.3">
      <c r="A412" t="s">
        <v>858</v>
      </c>
      <c r="B412" t="s">
        <v>859</v>
      </c>
      <c r="C412" t="s">
        <v>819</v>
      </c>
      <c r="D412" s="1">
        <v>45192</v>
      </c>
      <c r="E412">
        <v>555</v>
      </c>
      <c r="F412" t="s">
        <v>28</v>
      </c>
      <c r="G412">
        <v>14186</v>
      </c>
      <c r="H412">
        <v>7050</v>
      </c>
      <c r="I412">
        <v>40</v>
      </c>
      <c r="J412">
        <v>65</v>
      </c>
      <c r="K412">
        <v>922090</v>
      </c>
      <c r="L412">
        <v>151414</v>
      </c>
      <c r="M412">
        <v>770676</v>
      </c>
      <c r="N412">
        <v>458250</v>
      </c>
      <c r="O412">
        <v>312426</v>
      </c>
      <c r="P412">
        <v>40.54</v>
      </c>
      <c r="Q412">
        <v>0</v>
      </c>
      <c r="R412">
        <v>0</v>
      </c>
      <c r="S412">
        <v>0</v>
      </c>
      <c r="T412">
        <v>9</v>
      </c>
      <c r="U412">
        <v>4.28</v>
      </c>
      <c r="V412">
        <v>523634</v>
      </c>
      <c r="W412">
        <v>7503840</v>
      </c>
      <c r="X412">
        <v>14.33</v>
      </c>
      <c r="Y412" t="s">
        <v>39</v>
      </c>
    </row>
    <row r="413" spans="1:25" x14ac:dyDescent="0.3">
      <c r="A413" t="s">
        <v>860</v>
      </c>
      <c r="B413" t="s">
        <v>861</v>
      </c>
      <c r="C413" t="s">
        <v>819</v>
      </c>
      <c r="D413" s="1">
        <v>45358</v>
      </c>
      <c r="E413">
        <v>389</v>
      </c>
      <c r="F413" t="s">
        <v>28</v>
      </c>
      <c r="G413">
        <v>19451</v>
      </c>
      <c r="H413">
        <v>16610</v>
      </c>
      <c r="I413">
        <v>76</v>
      </c>
      <c r="J413">
        <v>119</v>
      </c>
      <c r="K413">
        <v>2314669</v>
      </c>
      <c r="L413">
        <v>362995</v>
      </c>
      <c r="M413">
        <v>1951674</v>
      </c>
      <c r="N413">
        <v>1976590</v>
      </c>
      <c r="O413">
        <v>-24916</v>
      </c>
      <c r="P413">
        <v>-1.28</v>
      </c>
      <c r="Q413">
        <v>10</v>
      </c>
      <c r="R413">
        <v>175050</v>
      </c>
      <c r="S413">
        <v>13.16</v>
      </c>
      <c r="T413">
        <v>38</v>
      </c>
      <c r="U413">
        <v>3.36</v>
      </c>
      <c r="V413">
        <v>171903</v>
      </c>
      <c r="W413">
        <v>3551910</v>
      </c>
      <c r="X413">
        <v>20.66</v>
      </c>
      <c r="Y413" t="s">
        <v>39</v>
      </c>
    </row>
    <row r="414" spans="1:25" x14ac:dyDescent="0.3">
      <c r="A414" t="s">
        <v>862</v>
      </c>
      <c r="B414" t="s">
        <v>863</v>
      </c>
      <c r="C414" t="s">
        <v>819</v>
      </c>
      <c r="D414" s="1">
        <v>44945</v>
      </c>
      <c r="E414">
        <v>802</v>
      </c>
      <c r="F414" t="s">
        <v>28</v>
      </c>
      <c r="G414">
        <v>9561</v>
      </c>
      <c r="H414">
        <v>7320</v>
      </c>
      <c r="I414">
        <v>65</v>
      </c>
      <c r="J414">
        <v>93</v>
      </c>
      <c r="K414">
        <v>889173</v>
      </c>
      <c r="L414">
        <v>141325</v>
      </c>
      <c r="M414">
        <v>747848</v>
      </c>
      <c r="N414">
        <v>680760</v>
      </c>
      <c r="O414">
        <v>67088</v>
      </c>
      <c r="P414">
        <v>8.9700000000000006</v>
      </c>
      <c r="Q414">
        <v>3</v>
      </c>
      <c r="R414">
        <v>25812</v>
      </c>
      <c r="S414">
        <v>4.62</v>
      </c>
      <c r="T414">
        <v>24</v>
      </c>
      <c r="U414">
        <v>3.46</v>
      </c>
      <c r="V414">
        <v>130384</v>
      </c>
      <c r="W414">
        <v>956940</v>
      </c>
      <c r="X414">
        <v>7.34</v>
      </c>
      <c r="Y414" t="s">
        <v>39</v>
      </c>
    </row>
    <row r="415" spans="1:25" x14ac:dyDescent="0.3">
      <c r="A415" t="s">
        <v>864</v>
      </c>
      <c r="B415" t="s">
        <v>865</v>
      </c>
      <c r="C415" t="s">
        <v>819</v>
      </c>
      <c r="D415" s="1">
        <v>45364</v>
      </c>
      <c r="E415">
        <v>383</v>
      </c>
      <c r="F415" t="s">
        <v>28</v>
      </c>
      <c r="G415">
        <v>10089</v>
      </c>
      <c r="H415">
        <v>8224</v>
      </c>
      <c r="I415">
        <v>58</v>
      </c>
      <c r="J415">
        <v>89</v>
      </c>
      <c r="K415">
        <v>897921</v>
      </c>
      <c r="L415">
        <v>143097</v>
      </c>
      <c r="M415">
        <v>754824</v>
      </c>
      <c r="N415">
        <v>731936</v>
      </c>
      <c r="O415">
        <v>22888</v>
      </c>
      <c r="P415">
        <v>3.03</v>
      </c>
      <c r="Q415">
        <v>3</v>
      </c>
      <c r="R415">
        <v>27240</v>
      </c>
      <c r="S415">
        <v>5.17</v>
      </c>
      <c r="T415">
        <v>19</v>
      </c>
      <c r="U415">
        <v>2.92</v>
      </c>
      <c r="V415">
        <v>139238</v>
      </c>
      <c r="W415">
        <v>1353607</v>
      </c>
      <c r="X415">
        <v>9.7200000000000006</v>
      </c>
      <c r="Y415" t="s">
        <v>39</v>
      </c>
    </row>
    <row r="416" spans="1:25" x14ac:dyDescent="0.3">
      <c r="A416" t="s">
        <v>866</v>
      </c>
      <c r="B416" t="s">
        <v>867</v>
      </c>
      <c r="C416" t="s">
        <v>819</v>
      </c>
      <c r="D416" s="1">
        <v>45506</v>
      </c>
      <c r="E416">
        <v>241</v>
      </c>
      <c r="F416" t="s">
        <v>28</v>
      </c>
      <c r="G416">
        <v>4884</v>
      </c>
      <c r="H416">
        <v>2810</v>
      </c>
      <c r="I416">
        <v>154</v>
      </c>
      <c r="J416">
        <v>216</v>
      </c>
      <c r="K416">
        <v>1054944</v>
      </c>
      <c r="L416">
        <v>183168</v>
      </c>
      <c r="M416">
        <v>871776</v>
      </c>
      <c r="N416">
        <v>606960</v>
      </c>
      <c r="O416">
        <v>264816</v>
      </c>
      <c r="P416">
        <v>30.38</v>
      </c>
      <c r="Q416">
        <v>10</v>
      </c>
      <c r="R416">
        <v>43950</v>
      </c>
      <c r="S416">
        <v>6.49</v>
      </c>
      <c r="T416">
        <v>64</v>
      </c>
      <c r="U416">
        <v>4.2699999999999996</v>
      </c>
      <c r="V416">
        <v>405981</v>
      </c>
      <c r="W416">
        <v>2663632</v>
      </c>
      <c r="X416">
        <v>6.56</v>
      </c>
      <c r="Y416" t="s">
        <v>39</v>
      </c>
    </row>
    <row r="417" spans="1:25" x14ac:dyDescent="0.3">
      <c r="A417" t="s">
        <v>868</v>
      </c>
      <c r="B417" t="s">
        <v>869</v>
      </c>
      <c r="C417" t="s">
        <v>819</v>
      </c>
      <c r="D417" s="1">
        <v>45420</v>
      </c>
      <c r="E417">
        <v>327</v>
      </c>
      <c r="F417" t="s">
        <v>28</v>
      </c>
      <c r="G417">
        <v>19403</v>
      </c>
      <c r="H417">
        <v>11280</v>
      </c>
      <c r="I417">
        <v>22</v>
      </c>
      <c r="J417">
        <v>38</v>
      </c>
      <c r="K417">
        <v>737314</v>
      </c>
      <c r="L417">
        <v>67670</v>
      </c>
      <c r="M417">
        <v>669644</v>
      </c>
      <c r="N417">
        <v>428640</v>
      </c>
      <c r="O417">
        <v>241004</v>
      </c>
      <c r="P417">
        <v>35.99</v>
      </c>
      <c r="Q417">
        <v>1</v>
      </c>
      <c r="R417">
        <v>17462</v>
      </c>
      <c r="S417">
        <v>4.55</v>
      </c>
      <c r="T417">
        <v>12</v>
      </c>
      <c r="U417">
        <v>4.17</v>
      </c>
      <c r="V417">
        <v>324191</v>
      </c>
      <c r="W417">
        <v>8786649</v>
      </c>
      <c r="X417">
        <v>27.1</v>
      </c>
      <c r="Y417" t="s">
        <v>29</v>
      </c>
    </row>
    <row r="418" spans="1:25" x14ac:dyDescent="0.3">
      <c r="A418" t="s">
        <v>870</v>
      </c>
      <c r="B418" t="s">
        <v>871</v>
      </c>
      <c r="C418" t="s">
        <v>819</v>
      </c>
      <c r="D418" s="1">
        <v>45009</v>
      </c>
      <c r="E418">
        <v>738</v>
      </c>
      <c r="F418" t="s">
        <v>28</v>
      </c>
      <c r="G418">
        <v>12046</v>
      </c>
      <c r="H418">
        <v>8091</v>
      </c>
      <c r="I418">
        <v>75</v>
      </c>
      <c r="J418">
        <v>110</v>
      </c>
      <c r="K418">
        <v>1325060</v>
      </c>
      <c r="L418">
        <v>170353</v>
      </c>
      <c r="M418">
        <v>1154707</v>
      </c>
      <c r="N418">
        <v>890010</v>
      </c>
      <c r="O418">
        <v>264697</v>
      </c>
      <c r="P418">
        <v>22.92</v>
      </c>
      <c r="Q418">
        <v>6</v>
      </c>
      <c r="R418">
        <v>65046</v>
      </c>
      <c r="S418">
        <v>8</v>
      </c>
      <c r="T418">
        <v>29</v>
      </c>
      <c r="U418">
        <v>3.88</v>
      </c>
      <c r="V418">
        <v>762949</v>
      </c>
      <c r="W418">
        <v>9022828</v>
      </c>
      <c r="X418">
        <v>11.83</v>
      </c>
      <c r="Y418" t="s">
        <v>39</v>
      </c>
    </row>
    <row r="419" spans="1:25" x14ac:dyDescent="0.3">
      <c r="A419" t="s">
        <v>872</v>
      </c>
      <c r="B419" t="s">
        <v>873</v>
      </c>
      <c r="C419" t="s">
        <v>819</v>
      </c>
      <c r="D419" s="1">
        <v>45022</v>
      </c>
      <c r="E419">
        <v>725</v>
      </c>
      <c r="F419" t="s">
        <v>28</v>
      </c>
      <c r="G419">
        <v>18617</v>
      </c>
      <c r="H419">
        <v>10363</v>
      </c>
      <c r="I419">
        <v>46</v>
      </c>
      <c r="J419">
        <v>70</v>
      </c>
      <c r="K419">
        <v>1303190</v>
      </c>
      <c r="L419">
        <v>149465</v>
      </c>
      <c r="M419">
        <v>1153725</v>
      </c>
      <c r="N419">
        <v>725410</v>
      </c>
      <c r="O419">
        <v>428315</v>
      </c>
      <c r="P419">
        <v>37.119999999999997</v>
      </c>
      <c r="Q419">
        <v>5</v>
      </c>
      <c r="R419">
        <v>83775</v>
      </c>
      <c r="S419">
        <v>10.87</v>
      </c>
      <c r="T419">
        <v>18</v>
      </c>
      <c r="U419">
        <v>4.28</v>
      </c>
      <c r="V419">
        <v>365863</v>
      </c>
      <c r="W419">
        <v>9476714</v>
      </c>
      <c r="X419">
        <v>25.9</v>
      </c>
      <c r="Y419" t="s">
        <v>39</v>
      </c>
    </row>
    <row r="420" spans="1:25" x14ac:dyDescent="0.3">
      <c r="A420" t="s">
        <v>874</v>
      </c>
      <c r="B420" t="s">
        <v>875</v>
      </c>
      <c r="C420" t="s">
        <v>819</v>
      </c>
      <c r="D420" s="1">
        <v>45174</v>
      </c>
      <c r="E420">
        <v>573</v>
      </c>
      <c r="F420" t="s">
        <v>28</v>
      </c>
      <c r="G420">
        <v>14077</v>
      </c>
      <c r="H420">
        <v>7677</v>
      </c>
      <c r="I420">
        <v>43</v>
      </c>
      <c r="J420">
        <v>71</v>
      </c>
      <c r="K420">
        <v>999467</v>
      </c>
      <c r="L420">
        <v>140393</v>
      </c>
      <c r="M420">
        <v>859074</v>
      </c>
      <c r="N420">
        <v>545067</v>
      </c>
      <c r="O420">
        <v>314007</v>
      </c>
      <c r="P420">
        <v>36.549999999999997</v>
      </c>
      <c r="Q420">
        <v>1</v>
      </c>
      <c r="R420">
        <v>12669</v>
      </c>
      <c r="S420">
        <v>2.33</v>
      </c>
      <c r="T420">
        <v>20</v>
      </c>
      <c r="U420">
        <v>4.33</v>
      </c>
      <c r="V420">
        <v>376659</v>
      </c>
      <c r="W420">
        <v>6149985</v>
      </c>
      <c r="X420">
        <v>16.329999999999998</v>
      </c>
      <c r="Y420" t="s">
        <v>29</v>
      </c>
    </row>
    <row r="421" spans="1:25" x14ac:dyDescent="0.3">
      <c r="A421" t="s">
        <v>876</v>
      </c>
      <c r="B421" t="s">
        <v>877</v>
      </c>
      <c r="C421" t="s">
        <v>819</v>
      </c>
      <c r="D421" s="1">
        <v>44907</v>
      </c>
      <c r="E421">
        <v>840</v>
      </c>
      <c r="F421" t="s">
        <v>28</v>
      </c>
      <c r="G421">
        <v>19314</v>
      </c>
      <c r="H421">
        <v>9175</v>
      </c>
      <c r="I421">
        <v>80</v>
      </c>
      <c r="J421">
        <v>123</v>
      </c>
      <c r="K421">
        <v>2375622</v>
      </c>
      <c r="L421">
        <v>358228</v>
      </c>
      <c r="M421">
        <v>2017394</v>
      </c>
      <c r="N421">
        <v>1128525</v>
      </c>
      <c r="O421">
        <v>888869</v>
      </c>
      <c r="P421">
        <v>44.06</v>
      </c>
      <c r="Q421">
        <v>5</v>
      </c>
      <c r="R421">
        <v>86910</v>
      </c>
      <c r="S421">
        <v>6.25</v>
      </c>
      <c r="T421">
        <v>32</v>
      </c>
      <c r="U421">
        <v>4.55</v>
      </c>
      <c r="V421">
        <v>547192</v>
      </c>
      <c r="W421">
        <v>12697343</v>
      </c>
      <c r="X421">
        <v>23.2</v>
      </c>
      <c r="Y421" t="s">
        <v>39</v>
      </c>
    </row>
    <row r="422" spans="1:25" x14ac:dyDescent="0.3">
      <c r="A422" t="s">
        <v>878</v>
      </c>
      <c r="B422" t="s">
        <v>879</v>
      </c>
      <c r="C422" t="s">
        <v>819</v>
      </c>
      <c r="D422" s="1">
        <v>44989</v>
      </c>
      <c r="E422">
        <v>758</v>
      </c>
      <c r="F422" t="s">
        <v>28</v>
      </c>
      <c r="G422">
        <v>13835</v>
      </c>
      <c r="H422">
        <v>12114</v>
      </c>
      <c r="I422">
        <v>87</v>
      </c>
      <c r="J422">
        <v>137</v>
      </c>
      <c r="K422">
        <v>1895395</v>
      </c>
      <c r="L422">
        <v>274885</v>
      </c>
      <c r="M422">
        <v>1620510</v>
      </c>
      <c r="N422">
        <v>1659618</v>
      </c>
      <c r="O422">
        <v>-39108</v>
      </c>
      <c r="P422">
        <v>-2.41</v>
      </c>
      <c r="Q422">
        <v>12</v>
      </c>
      <c r="R422">
        <v>149412</v>
      </c>
      <c r="S422">
        <v>13.79</v>
      </c>
      <c r="T422">
        <v>33</v>
      </c>
      <c r="U422">
        <v>2.83</v>
      </c>
      <c r="V422">
        <v>135481</v>
      </c>
      <c r="W422">
        <v>2089134</v>
      </c>
      <c r="X422">
        <v>15.42</v>
      </c>
      <c r="Y422" t="s">
        <v>39</v>
      </c>
    </row>
    <row r="423" spans="1:25" x14ac:dyDescent="0.3">
      <c r="A423" t="s">
        <v>880</v>
      </c>
      <c r="B423" t="s">
        <v>881</v>
      </c>
      <c r="C423" t="s">
        <v>819</v>
      </c>
      <c r="D423" s="1">
        <v>45567</v>
      </c>
      <c r="E423">
        <v>180</v>
      </c>
      <c r="F423" t="s">
        <v>28</v>
      </c>
      <c r="G423">
        <v>4992</v>
      </c>
      <c r="H423">
        <v>3782</v>
      </c>
      <c r="I423">
        <v>92</v>
      </c>
      <c r="J423">
        <v>137</v>
      </c>
      <c r="K423">
        <v>683904</v>
      </c>
      <c r="L423">
        <v>120112</v>
      </c>
      <c r="M423">
        <v>563792</v>
      </c>
      <c r="N423">
        <v>518134</v>
      </c>
      <c r="O423">
        <v>45658</v>
      </c>
      <c r="P423">
        <v>8.1</v>
      </c>
      <c r="Q423">
        <v>10</v>
      </c>
      <c r="R423">
        <v>44920</v>
      </c>
      <c r="S423">
        <v>10.87</v>
      </c>
      <c r="T423">
        <v>35</v>
      </c>
      <c r="U423">
        <v>3.54</v>
      </c>
      <c r="V423">
        <v>568739</v>
      </c>
      <c r="W423">
        <v>4004491</v>
      </c>
      <c r="X423">
        <v>7.04</v>
      </c>
      <c r="Y423" t="s">
        <v>39</v>
      </c>
    </row>
    <row r="424" spans="1:25" x14ac:dyDescent="0.3">
      <c r="A424" t="s">
        <v>882</v>
      </c>
      <c r="B424" t="s">
        <v>883</v>
      </c>
      <c r="C424" t="s">
        <v>819</v>
      </c>
      <c r="D424" s="1">
        <v>45049</v>
      </c>
      <c r="E424">
        <v>698</v>
      </c>
      <c r="F424" t="s">
        <v>28</v>
      </c>
      <c r="G424">
        <v>453</v>
      </c>
      <c r="H424">
        <v>315</v>
      </c>
      <c r="I424">
        <v>529</v>
      </c>
      <c r="J424">
        <v>791</v>
      </c>
      <c r="K424">
        <v>358323</v>
      </c>
      <c r="L424">
        <v>55997</v>
      </c>
      <c r="M424">
        <v>302326</v>
      </c>
      <c r="N424">
        <v>249165</v>
      </c>
      <c r="O424">
        <v>53161</v>
      </c>
      <c r="P424">
        <v>17.579999999999998</v>
      </c>
      <c r="Q424">
        <v>45</v>
      </c>
      <c r="R424">
        <v>18315</v>
      </c>
      <c r="S424">
        <v>8.51</v>
      </c>
      <c r="T424">
        <v>232</v>
      </c>
      <c r="U424">
        <v>3.71</v>
      </c>
      <c r="V424">
        <v>586490</v>
      </c>
      <c r="W424">
        <v>288094</v>
      </c>
      <c r="X424">
        <v>0.49</v>
      </c>
      <c r="Y424" t="s">
        <v>39</v>
      </c>
    </row>
    <row r="425" spans="1:25" x14ac:dyDescent="0.3">
      <c r="A425" t="s">
        <v>884</v>
      </c>
      <c r="B425" t="s">
        <v>885</v>
      </c>
      <c r="C425" t="s">
        <v>819</v>
      </c>
      <c r="D425" s="1">
        <v>45483</v>
      </c>
      <c r="E425">
        <v>264</v>
      </c>
      <c r="F425" t="s">
        <v>28</v>
      </c>
      <c r="G425">
        <v>4539</v>
      </c>
      <c r="H425">
        <v>2829</v>
      </c>
      <c r="I425">
        <v>113</v>
      </c>
      <c r="J425">
        <v>171</v>
      </c>
      <c r="K425">
        <v>776169</v>
      </c>
      <c r="L425">
        <v>93868</v>
      </c>
      <c r="M425">
        <v>682301</v>
      </c>
      <c r="N425">
        <v>483759</v>
      </c>
      <c r="O425">
        <v>198542</v>
      </c>
      <c r="P425">
        <v>29.1</v>
      </c>
      <c r="Q425">
        <v>4</v>
      </c>
      <c r="R425">
        <v>16340</v>
      </c>
      <c r="S425">
        <v>3.54</v>
      </c>
      <c r="T425">
        <v>41</v>
      </c>
      <c r="U425">
        <v>3.99</v>
      </c>
      <c r="V425">
        <v>537935</v>
      </c>
      <c r="W425">
        <v>2877809</v>
      </c>
      <c r="X425">
        <v>5.35</v>
      </c>
      <c r="Y425" t="s">
        <v>39</v>
      </c>
    </row>
    <row r="426" spans="1:25" x14ac:dyDescent="0.3">
      <c r="A426" t="s">
        <v>886</v>
      </c>
      <c r="B426" t="s">
        <v>887</v>
      </c>
      <c r="C426" t="s">
        <v>819</v>
      </c>
      <c r="D426" s="1">
        <v>45164</v>
      </c>
      <c r="E426">
        <v>583</v>
      </c>
      <c r="F426" t="s">
        <v>28</v>
      </c>
      <c r="G426">
        <v>12524</v>
      </c>
      <c r="H426">
        <v>5917</v>
      </c>
      <c r="I426">
        <v>84</v>
      </c>
      <c r="J426">
        <v>131</v>
      </c>
      <c r="K426">
        <v>1640644</v>
      </c>
      <c r="L426">
        <v>205418</v>
      </c>
      <c r="M426">
        <v>1435226</v>
      </c>
      <c r="N426">
        <v>775127</v>
      </c>
      <c r="O426">
        <v>660099</v>
      </c>
      <c r="P426">
        <v>45.99</v>
      </c>
      <c r="Q426">
        <v>7</v>
      </c>
      <c r="R426">
        <v>78897</v>
      </c>
      <c r="S426">
        <v>8.33</v>
      </c>
      <c r="T426">
        <v>30</v>
      </c>
      <c r="U426">
        <v>4.4800000000000004</v>
      </c>
      <c r="V426">
        <v>207089</v>
      </c>
      <c r="W426">
        <v>6195142</v>
      </c>
      <c r="X426">
        <v>29.92</v>
      </c>
      <c r="Y426" t="s">
        <v>39</v>
      </c>
    </row>
    <row r="427" spans="1:25" x14ac:dyDescent="0.3">
      <c r="A427" t="s">
        <v>888</v>
      </c>
      <c r="B427" t="s">
        <v>889</v>
      </c>
      <c r="C427" t="s">
        <v>819</v>
      </c>
      <c r="D427" s="1">
        <v>44940</v>
      </c>
      <c r="E427">
        <v>807</v>
      </c>
      <c r="F427" t="s">
        <v>28</v>
      </c>
      <c r="G427">
        <v>11582</v>
      </c>
      <c r="H427">
        <v>8797</v>
      </c>
      <c r="I427">
        <v>80</v>
      </c>
      <c r="J427">
        <v>128</v>
      </c>
      <c r="K427">
        <v>1482496</v>
      </c>
      <c r="L427">
        <v>185050</v>
      </c>
      <c r="M427">
        <v>1297446</v>
      </c>
      <c r="N427">
        <v>1126016</v>
      </c>
      <c r="O427">
        <v>171430</v>
      </c>
      <c r="P427">
        <v>13.21</v>
      </c>
      <c r="Q427">
        <v>7</v>
      </c>
      <c r="R427">
        <v>72961</v>
      </c>
      <c r="S427">
        <v>8.75</v>
      </c>
      <c r="T427">
        <v>32</v>
      </c>
      <c r="U427">
        <v>3.53</v>
      </c>
      <c r="V427">
        <v>418441</v>
      </c>
      <c r="W427">
        <v>5740548</v>
      </c>
      <c r="X427">
        <v>13.72</v>
      </c>
      <c r="Y427" t="s">
        <v>39</v>
      </c>
    </row>
    <row r="428" spans="1:25" x14ac:dyDescent="0.3">
      <c r="A428" t="s">
        <v>890</v>
      </c>
      <c r="B428" t="s">
        <v>891</v>
      </c>
      <c r="C428" t="s">
        <v>819</v>
      </c>
      <c r="D428" s="1">
        <v>45445</v>
      </c>
      <c r="E428">
        <v>302</v>
      </c>
      <c r="F428" t="s">
        <v>28</v>
      </c>
      <c r="G428">
        <v>15238</v>
      </c>
      <c r="H428">
        <v>8723</v>
      </c>
      <c r="I428">
        <v>64</v>
      </c>
      <c r="J428">
        <v>96</v>
      </c>
      <c r="K428">
        <v>1462848</v>
      </c>
      <c r="L428">
        <v>254438</v>
      </c>
      <c r="M428">
        <v>1208410</v>
      </c>
      <c r="N428">
        <v>837408</v>
      </c>
      <c r="O428">
        <v>371002</v>
      </c>
      <c r="P428">
        <v>30.7</v>
      </c>
      <c r="Q428">
        <v>7</v>
      </c>
      <c r="R428">
        <v>95998</v>
      </c>
      <c r="S428">
        <v>10.94</v>
      </c>
      <c r="T428">
        <v>26</v>
      </c>
      <c r="U428">
        <v>4.17</v>
      </c>
      <c r="V428">
        <v>294091</v>
      </c>
      <c r="W428">
        <v>7007883</v>
      </c>
      <c r="X428">
        <v>23.83</v>
      </c>
      <c r="Y428" t="s">
        <v>39</v>
      </c>
    </row>
    <row r="429" spans="1:25" x14ac:dyDescent="0.3">
      <c r="A429" t="s">
        <v>892</v>
      </c>
      <c r="B429" t="s">
        <v>893</v>
      </c>
      <c r="C429" t="s">
        <v>819</v>
      </c>
      <c r="D429" s="1">
        <v>45003</v>
      </c>
      <c r="E429">
        <v>744</v>
      </c>
      <c r="F429" t="s">
        <v>28</v>
      </c>
      <c r="G429">
        <v>12070</v>
      </c>
      <c r="H429">
        <v>6788</v>
      </c>
      <c r="I429">
        <v>50</v>
      </c>
      <c r="J429">
        <v>76</v>
      </c>
      <c r="K429">
        <v>917320</v>
      </c>
      <c r="L429">
        <v>135735</v>
      </c>
      <c r="M429">
        <v>781585</v>
      </c>
      <c r="N429">
        <v>515888</v>
      </c>
      <c r="O429">
        <v>265697</v>
      </c>
      <c r="P429">
        <v>33.99</v>
      </c>
      <c r="Q429">
        <v>6</v>
      </c>
      <c r="R429">
        <v>65178</v>
      </c>
      <c r="S429">
        <v>12</v>
      </c>
      <c r="T429">
        <v>26</v>
      </c>
      <c r="U429">
        <v>4.37</v>
      </c>
      <c r="V429">
        <v>271178</v>
      </c>
      <c r="W429">
        <v>4318762</v>
      </c>
      <c r="X429">
        <v>15.93</v>
      </c>
      <c r="Y429" t="s">
        <v>39</v>
      </c>
    </row>
    <row r="430" spans="1:25" x14ac:dyDescent="0.3">
      <c r="A430" t="s">
        <v>894</v>
      </c>
      <c r="B430" t="s">
        <v>895</v>
      </c>
      <c r="C430" t="s">
        <v>819</v>
      </c>
      <c r="D430" s="1">
        <v>45438</v>
      </c>
      <c r="E430">
        <v>309</v>
      </c>
      <c r="F430" t="s">
        <v>28</v>
      </c>
      <c r="G430">
        <v>7219</v>
      </c>
      <c r="H430">
        <v>4112</v>
      </c>
      <c r="I430">
        <v>85</v>
      </c>
      <c r="J430">
        <v>126</v>
      </c>
      <c r="K430">
        <v>909594</v>
      </c>
      <c r="L430">
        <v>161209</v>
      </c>
      <c r="M430">
        <v>748385</v>
      </c>
      <c r="N430">
        <v>518112</v>
      </c>
      <c r="O430">
        <v>230273</v>
      </c>
      <c r="P430">
        <v>30.77</v>
      </c>
      <c r="Q430">
        <v>9</v>
      </c>
      <c r="R430">
        <v>58473</v>
      </c>
      <c r="S430">
        <v>10.59</v>
      </c>
      <c r="T430">
        <v>31</v>
      </c>
      <c r="U430">
        <v>4.26</v>
      </c>
      <c r="V430">
        <v>518246</v>
      </c>
      <c r="W430">
        <v>4962925</v>
      </c>
      <c r="X430">
        <v>9.58</v>
      </c>
      <c r="Y430" t="s">
        <v>39</v>
      </c>
    </row>
    <row r="431" spans="1:25" x14ac:dyDescent="0.3">
      <c r="A431" t="s">
        <v>896</v>
      </c>
      <c r="B431" t="s">
        <v>897</v>
      </c>
      <c r="C431" t="s">
        <v>819</v>
      </c>
      <c r="D431" s="1">
        <v>45443</v>
      </c>
      <c r="E431">
        <v>304</v>
      </c>
      <c r="F431" t="s">
        <v>28</v>
      </c>
      <c r="G431">
        <v>17821</v>
      </c>
      <c r="H431">
        <v>11041</v>
      </c>
      <c r="I431">
        <v>54</v>
      </c>
      <c r="J431">
        <v>80</v>
      </c>
      <c r="K431">
        <v>1425680</v>
      </c>
      <c r="L431">
        <v>217988</v>
      </c>
      <c r="M431">
        <v>1207692</v>
      </c>
      <c r="N431">
        <v>883280</v>
      </c>
      <c r="O431">
        <v>324412</v>
      </c>
      <c r="P431">
        <v>26.86</v>
      </c>
      <c r="Q431">
        <v>4</v>
      </c>
      <c r="R431">
        <v>64152</v>
      </c>
      <c r="S431">
        <v>7.41</v>
      </c>
      <c r="T431">
        <v>20</v>
      </c>
      <c r="U431">
        <v>3.73</v>
      </c>
      <c r="V431">
        <v>126925</v>
      </c>
      <c r="W431">
        <v>1117386</v>
      </c>
      <c r="X431">
        <v>8.8000000000000007</v>
      </c>
      <c r="Y431" t="s">
        <v>39</v>
      </c>
    </row>
    <row r="432" spans="1:25" x14ac:dyDescent="0.3">
      <c r="A432" t="s">
        <v>898</v>
      </c>
      <c r="B432" t="s">
        <v>899</v>
      </c>
      <c r="C432" t="s">
        <v>819</v>
      </c>
      <c r="D432" s="1">
        <v>44961</v>
      </c>
      <c r="E432">
        <v>786</v>
      </c>
      <c r="F432" t="s">
        <v>28</v>
      </c>
      <c r="G432">
        <v>13955</v>
      </c>
      <c r="H432">
        <v>9769</v>
      </c>
      <c r="I432">
        <v>64</v>
      </c>
      <c r="J432">
        <v>89</v>
      </c>
      <c r="K432">
        <v>1241995</v>
      </c>
      <c r="L432">
        <v>129369</v>
      </c>
      <c r="M432">
        <v>1112626</v>
      </c>
      <c r="N432">
        <v>869441</v>
      </c>
      <c r="O432">
        <v>243185</v>
      </c>
      <c r="P432">
        <v>21.86</v>
      </c>
      <c r="Q432">
        <v>10</v>
      </c>
      <c r="R432">
        <v>125590</v>
      </c>
      <c r="S432">
        <v>15.63</v>
      </c>
      <c r="T432">
        <v>20</v>
      </c>
      <c r="U432">
        <v>3.53</v>
      </c>
      <c r="V432">
        <v>730655</v>
      </c>
      <c r="W432">
        <v>7961664</v>
      </c>
      <c r="X432">
        <v>10.9</v>
      </c>
      <c r="Y432" t="s">
        <v>39</v>
      </c>
    </row>
    <row r="433" spans="1:25" x14ac:dyDescent="0.3">
      <c r="A433" t="s">
        <v>900</v>
      </c>
      <c r="B433" t="s">
        <v>901</v>
      </c>
      <c r="C433" t="s">
        <v>819</v>
      </c>
      <c r="D433" s="1">
        <v>44938</v>
      </c>
      <c r="E433">
        <v>809</v>
      </c>
      <c r="F433" t="s">
        <v>28</v>
      </c>
      <c r="G433">
        <v>10165</v>
      </c>
      <c r="H433">
        <v>7223</v>
      </c>
      <c r="I433">
        <v>102</v>
      </c>
      <c r="J433">
        <v>146</v>
      </c>
      <c r="K433">
        <v>1484090</v>
      </c>
      <c r="L433">
        <v>226819</v>
      </c>
      <c r="M433">
        <v>1257271</v>
      </c>
      <c r="N433">
        <v>1054558</v>
      </c>
      <c r="O433">
        <v>202713</v>
      </c>
      <c r="P433">
        <v>16.12</v>
      </c>
      <c r="Q433">
        <v>7</v>
      </c>
      <c r="R433">
        <v>64036</v>
      </c>
      <c r="S433">
        <v>6.86</v>
      </c>
      <c r="T433">
        <v>42</v>
      </c>
      <c r="U433">
        <v>3.65</v>
      </c>
      <c r="V433">
        <v>454403</v>
      </c>
      <c r="W433">
        <v>5784028</v>
      </c>
      <c r="X433">
        <v>12.73</v>
      </c>
      <c r="Y433" t="s">
        <v>39</v>
      </c>
    </row>
    <row r="434" spans="1:25" x14ac:dyDescent="0.3">
      <c r="A434" t="s">
        <v>902</v>
      </c>
      <c r="B434" t="s">
        <v>903</v>
      </c>
      <c r="C434" t="s">
        <v>819</v>
      </c>
      <c r="D434" s="1">
        <v>44955</v>
      </c>
      <c r="E434">
        <v>792</v>
      </c>
      <c r="F434" t="s">
        <v>28</v>
      </c>
      <c r="G434">
        <v>17062</v>
      </c>
      <c r="H434">
        <v>9837</v>
      </c>
      <c r="I434">
        <v>39</v>
      </c>
      <c r="J434">
        <v>58</v>
      </c>
      <c r="K434">
        <v>989596</v>
      </c>
      <c r="L434">
        <v>107616</v>
      </c>
      <c r="M434">
        <v>881980</v>
      </c>
      <c r="N434">
        <v>570546</v>
      </c>
      <c r="O434">
        <v>311434</v>
      </c>
      <c r="P434">
        <v>35.31</v>
      </c>
      <c r="Q434">
        <v>2</v>
      </c>
      <c r="R434">
        <v>30710</v>
      </c>
      <c r="S434">
        <v>5.13</v>
      </c>
      <c r="T434">
        <v>14</v>
      </c>
      <c r="U434">
        <v>4.18</v>
      </c>
      <c r="V434">
        <v>638292</v>
      </c>
      <c r="W434">
        <v>11252396</v>
      </c>
      <c r="X434">
        <v>17.63</v>
      </c>
      <c r="Y434" t="s">
        <v>39</v>
      </c>
    </row>
    <row r="435" spans="1:25" x14ac:dyDescent="0.3">
      <c r="A435" t="s">
        <v>904</v>
      </c>
      <c r="B435" t="s">
        <v>905</v>
      </c>
      <c r="C435" t="s">
        <v>819</v>
      </c>
      <c r="D435" s="1">
        <v>45201</v>
      </c>
      <c r="E435">
        <v>546</v>
      </c>
      <c r="F435" t="s">
        <v>28</v>
      </c>
      <c r="G435">
        <v>17441</v>
      </c>
      <c r="H435">
        <v>8059</v>
      </c>
      <c r="I435">
        <v>32</v>
      </c>
      <c r="J435">
        <v>48</v>
      </c>
      <c r="K435">
        <v>837168</v>
      </c>
      <c r="L435">
        <v>81687</v>
      </c>
      <c r="M435">
        <v>755481</v>
      </c>
      <c r="N435">
        <v>386832</v>
      </c>
      <c r="O435">
        <v>368649</v>
      </c>
      <c r="P435">
        <v>48.8</v>
      </c>
      <c r="Q435">
        <v>4</v>
      </c>
      <c r="R435">
        <v>62784</v>
      </c>
      <c r="S435">
        <v>12.5</v>
      </c>
      <c r="T435">
        <v>11</v>
      </c>
      <c r="U435">
        <v>4.68</v>
      </c>
      <c r="V435">
        <v>350407</v>
      </c>
      <c r="W435">
        <v>8978314</v>
      </c>
      <c r="X435">
        <v>25.62</v>
      </c>
      <c r="Y435" t="s">
        <v>39</v>
      </c>
    </row>
    <row r="436" spans="1:25" x14ac:dyDescent="0.3">
      <c r="A436" t="s">
        <v>906</v>
      </c>
      <c r="B436" t="s">
        <v>907</v>
      </c>
      <c r="C436" t="s">
        <v>819</v>
      </c>
      <c r="D436" s="1">
        <v>44848</v>
      </c>
      <c r="E436">
        <v>899</v>
      </c>
      <c r="F436" t="s">
        <v>28</v>
      </c>
      <c r="G436">
        <v>11132</v>
      </c>
      <c r="H436">
        <v>8844</v>
      </c>
      <c r="I436">
        <v>52</v>
      </c>
      <c r="J436">
        <v>79</v>
      </c>
      <c r="K436">
        <v>879428</v>
      </c>
      <c r="L436">
        <v>137389</v>
      </c>
      <c r="M436">
        <v>742039</v>
      </c>
      <c r="N436">
        <v>698676</v>
      </c>
      <c r="O436">
        <v>43363</v>
      </c>
      <c r="P436">
        <v>5.84</v>
      </c>
      <c r="Q436">
        <v>2</v>
      </c>
      <c r="R436">
        <v>20036</v>
      </c>
      <c r="S436">
        <v>3.85</v>
      </c>
      <c r="T436">
        <v>19</v>
      </c>
      <c r="U436">
        <v>3.13</v>
      </c>
      <c r="V436">
        <v>489016</v>
      </c>
      <c r="W436">
        <v>8400959</v>
      </c>
      <c r="X436">
        <v>17.18</v>
      </c>
      <c r="Y436" t="s">
        <v>39</v>
      </c>
    </row>
    <row r="437" spans="1:25" x14ac:dyDescent="0.3">
      <c r="A437" t="s">
        <v>908</v>
      </c>
      <c r="B437" t="s">
        <v>909</v>
      </c>
      <c r="C437" t="s">
        <v>819</v>
      </c>
      <c r="D437" s="1">
        <v>45575</v>
      </c>
      <c r="E437">
        <v>172</v>
      </c>
      <c r="F437" t="s">
        <v>28</v>
      </c>
      <c r="G437">
        <v>17066</v>
      </c>
      <c r="H437">
        <v>14783</v>
      </c>
      <c r="I437">
        <v>25</v>
      </c>
      <c r="J437">
        <v>35</v>
      </c>
      <c r="K437">
        <v>597310</v>
      </c>
      <c r="L437">
        <v>68462</v>
      </c>
      <c r="M437">
        <v>528848</v>
      </c>
      <c r="N437">
        <v>517405</v>
      </c>
      <c r="O437">
        <v>11443</v>
      </c>
      <c r="P437">
        <v>2.16</v>
      </c>
      <c r="Q437">
        <v>2</v>
      </c>
      <c r="R437">
        <v>30718</v>
      </c>
      <c r="S437">
        <v>8</v>
      </c>
      <c r="T437">
        <v>16</v>
      </c>
      <c r="U437">
        <v>3.09</v>
      </c>
      <c r="V437">
        <v>50460</v>
      </c>
      <c r="W437">
        <v>2925915</v>
      </c>
      <c r="X437">
        <v>57.98</v>
      </c>
      <c r="Y437" t="s">
        <v>39</v>
      </c>
    </row>
    <row r="438" spans="1:25" x14ac:dyDescent="0.3">
      <c r="A438" t="s">
        <v>910</v>
      </c>
      <c r="B438" t="s">
        <v>911</v>
      </c>
      <c r="C438" t="s">
        <v>819</v>
      </c>
      <c r="D438" s="1">
        <v>44875</v>
      </c>
      <c r="E438">
        <v>872</v>
      </c>
      <c r="F438" t="s">
        <v>28</v>
      </c>
      <c r="G438">
        <v>3569</v>
      </c>
      <c r="H438">
        <v>1906</v>
      </c>
      <c r="I438">
        <v>193</v>
      </c>
      <c r="J438">
        <v>287</v>
      </c>
      <c r="K438">
        <v>1024303</v>
      </c>
      <c r="L438">
        <v>140981</v>
      </c>
      <c r="M438">
        <v>883322</v>
      </c>
      <c r="N438">
        <v>547022</v>
      </c>
      <c r="O438">
        <v>336300</v>
      </c>
      <c r="P438">
        <v>38.07</v>
      </c>
      <c r="Q438">
        <v>10</v>
      </c>
      <c r="R438">
        <v>32120</v>
      </c>
      <c r="S438">
        <v>5.18</v>
      </c>
      <c r="T438">
        <v>77</v>
      </c>
      <c r="U438">
        <v>4.28</v>
      </c>
      <c r="V438">
        <v>68401</v>
      </c>
      <c r="W438">
        <v>508199</v>
      </c>
      <c r="X438">
        <v>7.43</v>
      </c>
      <c r="Y438" t="s">
        <v>61</v>
      </c>
    </row>
    <row r="439" spans="1:25" x14ac:dyDescent="0.3">
      <c r="A439" t="s">
        <v>912</v>
      </c>
      <c r="B439" t="s">
        <v>913</v>
      </c>
      <c r="C439" t="s">
        <v>819</v>
      </c>
      <c r="D439" s="1">
        <v>44976</v>
      </c>
      <c r="E439">
        <v>771</v>
      </c>
      <c r="F439" t="s">
        <v>28</v>
      </c>
      <c r="G439">
        <v>1802</v>
      </c>
      <c r="H439">
        <v>1613</v>
      </c>
      <c r="I439">
        <v>280</v>
      </c>
      <c r="J439">
        <v>429</v>
      </c>
      <c r="K439">
        <v>773058</v>
      </c>
      <c r="L439">
        <v>82885</v>
      </c>
      <c r="M439">
        <v>690173</v>
      </c>
      <c r="N439">
        <v>691977</v>
      </c>
      <c r="O439">
        <v>-1804</v>
      </c>
      <c r="P439">
        <v>-0.26</v>
      </c>
      <c r="Q439">
        <v>4</v>
      </c>
      <c r="R439">
        <v>6484</v>
      </c>
      <c r="S439">
        <v>1.43</v>
      </c>
      <c r="T439">
        <v>112</v>
      </c>
      <c r="U439">
        <v>2.94</v>
      </c>
      <c r="V439">
        <v>431227</v>
      </c>
      <c r="W439">
        <v>1279132</v>
      </c>
      <c r="X439">
        <v>2.97</v>
      </c>
      <c r="Y439" t="s">
        <v>39</v>
      </c>
    </row>
    <row r="440" spans="1:25" x14ac:dyDescent="0.3">
      <c r="A440" t="s">
        <v>914</v>
      </c>
      <c r="B440" t="s">
        <v>915</v>
      </c>
      <c r="C440" t="s">
        <v>819</v>
      </c>
      <c r="D440" s="1">
        <v>45185</v>
      </c>
      <c r="E440">
        <v>562</v>
      </c>
      <c r="F440" t="s">
        <v>28</v>
      </c>
      <c r="G440">
        <v>3344</v>
      </c>
      <c r="H440">
        <v>2448</v>
      </c>
      <c r="I440">
        <v>194</v>
      </c>
      <c r="J440">
        <v>304</v>
      </c>
      <c r="K440">
        <v>1016576</v>
      </c>
      <c r="L440">
        <v>138387</v>
      </c>
      <c r="M440">
        <v>878189</v>
      </c>
      <c r="N440">
        <v>744192</v>
      </c>
      <c r="O440">
        <v>133997</v>
      </c>
      <c r="P440">
        <v>15.26</v>
      </c>
      <c r="Q440">
        <v>7</v>
      </c>
      <c r="R440">
        <v>21063</v>
      </c>
      <c r="S440">
        <v>3.61</v>
      </c>
      <c r="T440">
        <v>74</v>
      </c>
      <c r="U440">
        <v>3.53</v>
      </c>
      <c r="V440">
        <v>285775</v>
      </c>
      <c r="W440">
        <v>905600</v>
      </c>
      <c r="X440">
        <v>3.17</v>
      </c>
      <c r="Y440" t="s">
        <v>39</v>
      </c>
    </row>
    <row r="441" spans="1:25" x14ac:dyDescent="0.3">
      <c r="A441" t="s">
        <v>916</v>
      </c>
      <c r="B441" t="s">
        <v>917</v>
      </c>
      <c r="C441" t="s">
        <v>819</v>
      </c>
      <c r="D441" s="1">
        <v>45651</v>
      </c>
      <c r="E441">
        <v>96</v>
      </c>
      <c r="F441" t="s">
        <v>28</v>
      </c>
      <c r="G441">
        <v>14118</v>
      </c>
      <c r="H441">
        <v>8584</v>
      </c>
      <c r="I441">
        <v>78</v>
      </c>
      <c r="J441">
        <v>126</v>
      </c>
      <c r="K441">
        <v>1778868</v>
      </c>
      <c r="L441">
        <v>214409</v>
      </c>
      <c r="M441">
        <v>1564459</v>
      </c>
      <c r="N441">
        <v>1081584</v>
      </c>
      <c r="O441">
        <v>482875</v>
      </c>
      <c r="P441">
        <v>30.87</v>
      </c>
      <c r="Q441">
        <v>6</v>
      </c>
      <c r="R441">
        <v>76236</v>
      </c>
      <c r="S441">
        <v>7.69</v>
      </c>
      <c r="T441">
        <v>30</v>
      </c>
      <c r="U441">
        <v>4.1500000000000004</v>
      </c>
      <c r="V441">
        <v>135838</v>
      </c>
      <c r="W441">
        <v>1577718</v>
      </c>
      <c r="X441">
        <v>11.61</v>
      </c>
      <c r="Y441" t="s">
        <v>39</v>
      </c>
    </row>
    <row r="442" spans="1:25" x14ac:dyDescent="0.3">
      <c r="A442" t="s">
        <v>918</v>
      </c>
      <c r="B442" t="s">
        <v>919</v>
      </c>
      <c r="C442" t="s">
        <v>819</v>
      </c>
      <c r="D442" s="1">
        <v>45529</v>
      </c>
      <c r="E442">
        <v>218</v>
      </c>
      <c r="F442" t="s">
        <v>28</v>
      </c>
      <c r="G442">
        <v>16115</v>
      </c>
      <c r="H442">
        <v>8685</v>
      </c>
      <c r="I442">
        <v>63</v>
      </c>
      <c r="J442">
        <v>98</v>
      </c>
      <c r="K442">
        <v>1579270</v>
      </c>
      <c r="L442">
        <v>152050</v>
      </c>
      <c r="M442">
        <v>1427220</v>
      </c>
      <c r="N442">
        <v>851130</v>
      </c>
      <c r="O442">
        <v>576090</v>
      </c>
      <c r="P442">
        <v>40.36</v>
      </c>
      <c r="Q442">
        <v>3</v>
      </c>
      <c r="R442">
        <v>43509</v>
      </c>
      <c r="S442">
        <v>4.76</v>
      </c>
      <c r="T442">
        <v>30</v>
      </c>
      <c r="U442">
        <v>4.13</v>
      </c>
      <c r="V442">
        <v>291220</v>
      </c>
      <c r="W442">
        <v>7018696</v>
      </c>
      <c r="X442">
        <v>24.1</v>
      </c>
      <c r="Y442" t="s">
        <v>29</v>
      </c>
    </row>
    <row r="443" spans="1:25" x14ac:dyDescent="0.3">
      <c r="A443" t="s">
        <v>920</v>
      </c>
      <c r="B443" t="s">
        <v>921</v>
      </c>
      <c r="C443" t="s">
        <v>819</v>
      </c>
      <c r="D443" s="1">
        <v>44950</v>
      </c>
      <c r="E443">
        <v>797</v>
      </c>
      <c r="F443" t="s">
        <v>28</v>
      </c>
      <c r="G443">
        <v>16128</v>
      </c>
      <c r="H443">
        <v>7835</v>
      </c>
      <c r="I443">
        <v>43</v>
      </c>
      <c r="J443">
        <v>66</v>
      </c>
      <c r="K443">
        <v>1064448</v>
      </c>
      <c r="L443">
        <v>172608</v>
      </c>
      <c r="M443">
        <v>891840</v>
      </c>
      <c r="N443">
        <v>517110</v>
      </c>
      <c r="O443">
        <v>374730</v>
      </c>
      <c r="P443">
        <v>42.02</v>
      </c>
      <c r="Q443">
        <v>5</v>
      </c>
      <c r="R443">
        <v>72575</v>
      </c>
      <c r="S443">
        <v>11.63</v>
      </c>
      <c r="T443">
        <v>15</v>
      </c>
      <c r="U443">
        <v>4.43</v>
      </c>
      <c r="V443">
        <v>542865</v>
      </c>
      <c r="W443">
        <v>10906946</v>
      </c>
      <c r="X443">
        <v>20.09</v>
      </c>
      <c r="Y443" t="s">
        <v>39</v>
      </c>
    </row>
    <row r="444" spans="1:25" x14ac:dyDescent="0.3">
      <c r="A444" t="s">
        <v>922</v>
      </c>
      <c r="B444" t="s">
        <v>923</v>
      </c>
      <c r="C444" t="s">
        <v>819</v>
      </c>
      <c r="D444" s="1">
        <v>45064</v>
      </c>
      <c r="E444">
        <v>683</v>
      </c>
      <c r="F444" t="s">
        <v>28</v>
      </c>
      <c r="G444">
        <v>19194</v>
      </c>
      <c r="H444">
        <v>11023</v>
      </c>
      <c r="I444">
        <v>38</v>
      </c>
      <c r="J444">
        <v>58</v>
      </c>
      <c r="K444">
        <v>1113252</v>
      </c>
      <c r="L444">
        <v>123561</v>
      </c>
      <c r="M444">
        <v>989691</v>
      </c>
      <c r="N444">
        <v>639334</v>
      </c>
      <c r="O444">
        <v>350357</v>
      </c>
      <c r="P444">
        <v>35.4</v>
      </c>
      <c r="Q444">
        <v>3</v>
      </c>
      <c r="R444">
        <v>51822</v>
      </c>
      <c r="S444">
        <v>7.89</v>
      </c>
      <c r="T444">
        <v>17</v>
      </c>
      <c r="U444">
        <v>4.21</v>
      </c>
      <c r="V444">
        <v>144256</v>
      </c>
      <c r="W444">
        <v>3008336</v>
      </c>
      <c r="X444">
        <v>20.85</v>
      </c>
      <c r="Y444" t="s">
        <v>39</v>
      </c>
    </row>
    <row r="445" spans="1:25" x14ac:dyDescent="0.3">
      <c r="A445" t="s">
        <v>924</v>
      </c>
      <c r="B445" t="s">
        <v>925</v>
      </c>
      <c r="C445" t="s">
        <v>819</v>
      </c>
      <c r="D445" s="1">
        <v>45579</v>
      </c>
      <c r="E445">
        <v>168</v>
      </c>
      <c r="F445" t="s">
        <v>28</v>
      </c>
      <c r="G445">
        <v>3419</v>
      </c>
      <c r="H445">
        <v>2411</v>
      </c>
      <c r="I445">
        <v>119</v>
      </c>
      <c r="J445">
        <v>179</v>
      </c>
      <c r="K445">
        <v>612001</v>
      </c>
      <c r="L445">
        <v>66070</v>
      </c>
      <c r="M445">
        <v>545931</v>
      </c>
      <c r="N445">
        <v>431569</v>
      </c>
      <c r="O445">
        <v>114362</v>
      </c>
      <c r="P445">
        <v>20.95</v>
      </c>
      <c r="Q445">
        <v>9</v>
      </c>
      <c r="R445">
        <v>27693</v>
      </c>
      <c r="S445">
        <v>7.56</v>
      </c>
      <c r="T445">
        <v>43</v>
      </c>
      <c r="U445">
        <v>3.67</v>
      </c>
      <c r="V445">
        <v>506203</v>
      </c>
      <c r="W445">
        <v>1868063</v>
      </c>
      <c r="X445">
        <v>3.69</v>
      </c>
      <c r="Y445" t="s">
        <v>39</v>
      </c>
    </row>
    <row r="446" spans="1:25" x14ac:dyDescent="0.3">
      <c r="A446" t="s">
        <v>926</v>
      </c>
      <c r="B446" t="s">
        <v>927</v>
      </c>
      <c r="C446" t="s">
        <v>819</v>
      </c>
      <c r="D446" s="1">
        <v>44995</v>
      </c>
      <c r="E446">
        <v>752</v>
      </c>
      <c r="F446" t="s">
        <v>28</v>
      </c>
      <c r="G446">
        <v>2087</v>
      </c>
      <c r="H446">
        <v>1867</v>
      </c>
      <c r="I446">
        <v>146</v>
      </c>
      <c r="J446">
        <v>219</v>
      </c>
      <c r="K446">
        <v>457053</v>
      </c>
      <c r="L446">
        <v>66653</v>
      </c>
      <c r="M446">
        <v>390400</v>
      </c>
      <c r="N446">
        <v>408873</v>
      </c>
      <c r="O446">
        <v>-18473</v>
      </c>
      <c r="P446">
        <v>-4.7300000000000004</v>
      </c>
      <c r="Q446">
        <v>15</v>
      </c>
      <c r="R446">
        <v>28170</v>
      </c>
      <c r="S446">
        <v>10.27</v>
      </c>
      <c r="T446">
        <v>63</v>
      </c>
      <c r="U446">
        <v>2.87</v>
      </c>
      <c r="V446">
        <v>357116</v>
      </c>
      <c r="W446">
        <v>1149467</v>
      </c>
      <c r="X446">
        <v>3.22</v>
      </c>
      <c r="Y446" t="s">
        <v>39</v>
      </c>
    </row>
    <row r="447" spans="1:25" x14ac:dyDescent="0.3">
      <c r="A447" t="s">
        <v>928</v>
      </c>
      <c r="B447" t="s">
        <v>929</v>
      </c>
      <c r="C447" t="s">
        <v>819</v>
      </c>
      <c r="D447" s="1">
        <v>45119</v>
      </c>
      <c r="E447">
        <v>628</v>
      </c>
      <c r="F447" t="s">
        <v>28</v>
      </c>
      <c r="G447">
        <v>10805</v>
      </c>
      <c r="H447">
        <v>8553</v>
      </c>
      <c r="I447">
        <v>30</v>
      </c>
      <c r="J447">
        <v>41</v>
      </c>
      <c r="K447">
        <v>443005</v>
      </c>
      <c r="L447">
        <v>90954</v>
      </c>
      <c r="M447">
        <v>352051</v>
      </c>
      <c r="N447">
        <v>350673</v>
      </c>
      <c r="O447">
        <v>1378</v>
      </c>
      <c r="P447">
        <v>0.39</v>
      </c>
      <c r="Q447">
        <v>0</v>
      </c>
      <c r="R447">
        <v>0</v>
      </c>
      <c r="S447">
        <v>0</v>
      </c>
      <c r="T447">
        <v>15</v>
      </c>
      <c r="U447">
        <v>3.43</v>
      </c>
      <c r="V447">
        <v>565876</v>
      </c>
      <c r="W447">
        <v>5001847</v>
      </c>
      <c r="X447">
        <v>8.84</v>
      </c>
      <c r="Y447" t="s">
        <v>39</v>
      </c>
    </row>
    <row r="448" spans="1:25" x14ac:dyDescent="0.3">
      <c r="A448" t="s">
        <v>930</v>
      </c>
      <c r="B448" t="s">
        <v>931</v>
      </c>
      <c r="C448" t="s">
        <v>819</v>
      </c>
      <c r="D448" s="1">
        <v>45421</v>
      </c>
      <c r="E448">
        <v>326</v>
      </c>
      <c r="F448" t="s">
        <v>28</v>
      </c>
      <c r="G448">
        <v>15342</v>
      </c>
      <c r="H448">
        <v>10741</v>
      </c>
      <c r="I448">
        <v>39</v>
      </c>
      <c r="J448">
        <v>55</v>
      </c>
      <c r="K448">
        <v>843810</v>
      </c>
      <c r="L448">
        <v>147216</v>
      </c>
      <c r="M448">
        <v>696594</v>
      </c>
      <c r="N448">
        <v>590755</v>
      </c>
      <c r="O448">
        <v>105839</v>
      </c>
      <c r="P448">
        <v>15.19</v>
      </c>
      <c r="Q448">
        <v>6</v>
      </c>
      <c r="R448">
        <v>82842</v>
      </c>
      <c r="S448">
        <v>15.38</v>
      </c>
      <c r="T448">
        <v>21</v>
      </c>
      <c r="U448">
        <v>3.6</v>
      </c>
      <c r="V448">
        <v>605569</v>
      </c>
      <c r="W448">
        <v>9910209</v>
      </c>
      <c r="X448">
        <v>16.37</v>
      </c>
      <c r="Y448" t="s">
        <v>39</v>
      </c>
    </row>
    <row r="449" spans="1:25" x14ac:dyDescent="0.3">
      <c r="A449" t="s">
        <v>932</v>
      </c>
      <c r="B449" t="s">
        <v>933</v>
      </c>
      <c r="C449" t="s">
        <v>819</v>
      </c>
      <c r="D449" s="1">
        <v>44871</v>
      </c>
      <c r="E449">
        <v>876</v>
      </c>
      <c r="F449" t="s">
        <v>28</v>
      </c>
      <c r="G449">
        <v>3662</v>
      </c>
      <c r="H449">
        <v>2630</v>
      </c>
      <c r="I449">
        <v>136</v>
      </c>
      <c r="J449">
        <v>201</v>
      </c>
      <c r="K449">
        <v>736062</v>
      </c>
      <c r="L449">
        <v>148538</v>
      </c>
      <c r="M449">
        <v>587524</v>
      </c>
      <c r="N449">
        <v>528630</v>
      </c>
      <c r="O449">
        <v>58894</v>
      </c>
      <c r="P449">
        <v>10.02</v>
      </c>
      <c r="Q449">
        <v>7</v>
      </c>
      <c r="R449">
        <v>23065</v>
      </c>
      <c r="S449">
        <v>5.15</v>
      </c>
      <c r="T449">
        <v>63</v>
      </c>
      <c r="U449">
        <v>3.7</v>
      </c>
      <c r="V449">
        <v>288271</v>
      </c>
      <c r="W449">
        <v>970238</v>
      </c>
      <c r="X449">
        <v>3.37</v>
      </c>
      <c r="Y449" t="s">
        <v>39</v>
      </c>
    </row>
    <row r="450" spans="1:25" x14ac:dyDescent="0.3">
      <c r="A450" t="s">
        <v>934</v>
      </c>
      <c r="B450" t="s">
        <v>935</v>
      </c>
      <c r="C450" t="s">
        <v>819</v>
      </c>
      <c r="D450" s="1">
        <v>45505</v>
      </c>
      <c r="E450">
        <v>242</v>
      </c>
      <c r="F450" t="s">
        <v>28</v>
      </c>
      <c r="G450">
        <v>16956</v>
      </c>
      <c r="H450">
        <v>10969</v>
      </c>
      <c r="I450">
        <v>38</v>
      </c>
      <c r="J450">
        <v>56</v>
      </c>
      <c r="K450">
        <v>949536</v>
      </c>
      <c r="L450">
        <v>103051</v>
      </c>
      <c r="M450">
        <v>846485</v>
      </c>
      <c r="N450">
        <v>614264</v>
      </c>
      <c r="O450">
        <v>232221</v>
      </c>
      <c r="P450">
        <v>27.43</v>
      </c>
      <c r="Q450">
        <v>3</v>
      </c>
      <c r="R450">
        <v>45780</v>
      </c>
      <c r="S450">
        <v>7.89</v>
      </c>
      <c r="T450">
        <v>18</v>
      </c>
      <c r="U450">
        <v>3.86</v>
      </c>
      <c r="V450">
        <v>58432</v>
      </c>
      <c r="W450">
        <v>1871714</v>
      </c>
      <c r="X450">
        <v>32.03</v>
      </c>
      <c r="Y450" t="s">
        <v>39</v>
      </c>
    </row>
    <row r="451" spans="1:25" x14ac:dyDescent="0.3">
      <c r="A451" t="s">
        <v>936</v>
      </c>
      <c r="B451" t="s">
        <v>937</v>
      </c>
      <c r="C451" t="s">
        <v>819</v>
      </c>
      <c r="D451" s="1">
        <v>45469</v>
      </c>
      <c r="E451">
        <v>278</v>
      </c>
      <c r="F451" t="s">
        <v>28</v>
      </c>
      <c r="G451">
        <v>11177</v>
      </c>
      <c r="H451">
        <v>7241</v>
      </c>
      <c r="I451">
        <v>111</v>
      </c>
      <c r="J451">
        <v>163</v>
      </c>
      <c r="K451">
        <v>1821851</v>
      </c>
      <c r="L451">
        <v>209771</v>
      </c>
      <c r="M451">
        <v>1612080</v>
      </c>
      <c r="N451">
        <v>1180283</v>
      </c>
      <c r="O451">
        <v>431797</v>
      </c>
      <c r="P451">
        <v>26.79</v>
      </c>
      <c r="Q451">
        <v>8</v>
      </c>
      <c r="R451">
        <v>80472</v>
      </c>
      <c r="S451">
        <v>7.21</v>
      </c>
      <c r="T451">
        <v>36</v>
      </c>
      <c r="U451">
        <v>4.01</v>
      </c>
      <c r="V451">
        <v>126324</v>
      </c>
      <c r="W451">
        <v>1718701</v>
      </c>
      <c r="X451">
        <v>13.61</v>
      </c>
      <c r="Y451" t="s">
        <v>39</v>
      </c>
    </row>
    <row r="452" spans="1:25" x14ac:dyDescent="0.3">
      <c r="A452" t="s">
        <v>938</v>
      </c>
      <c r="B452" t="s">
        <v>939</v>
      </c>
      <c r="C452" t="s">
        <v>940</v>
      </c>
      <c r="D452" s="1">
        <v>45483</v>
      </c>
      <c r="E452">
        <v>264</v>
      </c>
      <c r="F452" t="s">
        <v>28</v>
      </c>
      <c r="G452">
        <v>370</v>
      </c>
      <c r="H452">
        <v>276</v>
      </c>
      <c r="I452">
        <v>251</v>
      </c>
      <c r="J452">
        <v>382</v>
      </c>
      <c r="K452">
        <v>141340</v>
      </c>
      <c r="L452">
        <v>20910</v>
      </c>
      <c r="M452">
        <v>120430</v>
      </c>
      <c r="N452">
        <v>105432</v>
      </c>
      <c r="O452">
        <v>14998</v>
      </c>
      <c r="P452">
        <v>12.45</v>
      </c>
      <c r="Q452">
        <v>5</v>
      </c>
      <c r="R452">
        <v>1665</v>
      </c>
      <c r="S452">
        <v>1.99</v>
      </c>
      <c r="T452">
        <v>103</v>
      </c>
      <c r="U452">
        <v>3.33</v>
      </c>
      <c r="V452">
        <v>178901</v>
      </c>
      <c r="W452">
        <v>16846</v>
      </c>
      <c r="X452">
        <v>0.09</v>
      </c>
      <c r="Y452" t="s">
        <v>39</v>
      </c>
    </row>
    <row r="453" spans="1:25" x14ac:dyDescent="0.3">
      <c r="A453" t="s">
        <v>941</v>
      </c>
      <c r="B453" t="s">
        <v>942</v>
      </c>
      <c r="C453" t="s">
        <v>940</v>
      </c>
      <c r="D453" s="1">
        <v>45569</v>
      </c>
      <c r="E453">
        <v>178</v>
      </c>
      <c r="F453" t="s">
        <v>28</v>
      </c>
      <c r="G453">
        <v>16434</v>
      </c>
      <c r="H453">
        <v>13751</v>
      </c>
      <c r="I453">
        <v>46</v>
      </c>
      <c r="J453">
        <v>71</v>
      </c>
      <c r="K453">
        <v>1166814</v>
      </c>
      <c r="L453">
        <v>168393</v>
      </c>
      <c r="M453">
        <v>998421</v>
      </c>
      <c r="N453">
        <v>976321</v>
      </c>
      <c r="O453">
        <v>22100</v>
      </c>
      <c r="P453">
        <v>2.21</v>
      </c>
      <c r="Q453">
        <v>3</v>
      </c>
      <c r="R453">
        <v>44370</v>
      </c>
      <c r="S453">
        <v>6.52</v>
      </c>
      <c r="T453">
        <v>14</v>
      </c>
      <c r="U453">
        <v>2.86</v>
      </c>
      <c r="V453">
        <v>311595</v>
      </c>
      <c r="W453">
        <v>6721888</v>
      </c>
      <c r="X453">
        <v>21.57</v>
      </c>
      <c r="Y453" t="s">
        <v>39</v>
      </c>
    </row>
    <row r="454" spans="1:25" x14ac:dyDescent="0.3">
      <c r="A454" t="s">
        <v>943</v>
      </c>
      <c r="B454" t="s">
        <v>944</v>
      </c>
      <c r="C454" t="s">
        <v>940</v>
      </c>
      <c r="D454" s="1">
        <v>45635</v>
      </c>
      <c r="E454">
        <v>112</v>
      </c>
      <c r="F454" t="s">
        <v>28</v>
      </c>
      <c r="G454">
        <v>7363</v>
      </c>
      <c r="H454">
        <v>5112</v>
      </c>
      <c r="I454">
        <v>40</v>
      </c>
      <c r="J454">
        <v>61</v>
      </c>
      <c r="K454">
        <v>449143</v>
      </c>
      <c r="L454">
        <v>39729</v>
      </c>
      <c r="M454">
        <v>409414</v>
      </c>
      <c r="N454">
        <v>311832</v>
      </c>
      <c r="O454">
        <v>97582</v>
      </c>
      <c r="P454">
        <v>23.83</v>
      </c>
      <c r="Q454">
        <v>0</v>
      </c>
      <c r="R454">
        <v>0</v>
      </c>
      <c r="S454">
        <v>0</v>
      </c>
      <c r="T454">
        <v>17</v>
      </c>
      <c r="U454">
        <v>3.97</v>
      </c>
      <c r="V454">
        <v>497729</v>
      </c>
      <c r="W454">
        <v>4132062</v>
      </c>
      <c r="X454">
        <v>8.3000000000000007</v>
      </c>
      <c r="Y454" t="s">
        <v>39</v>
      </c>
    </row>
    <row r="455" spans="1:25" x14ac:dyDescent="0.3">
      <c r="A455" t="s">
        <v>945</v>
      </c>
      <c r="B455" t="s">
        <v>946</v>
      </c>
      <c r="C455" t="s">
        <v>940</v>
      </c>
      <c r="D455" s="1">
        <v>45296</v>
      </c>
      <c r="E455">
        <v>451</v>
      </c>
      <c r="F455" t="s">
        <v>28</v>
      </c>
      <c r="G455">
        <v>4336</v>
      </c>
      <c r="H455">
        <v>2395</v>
      </c>
      <c r="I455">
        <v>178</v>
      </c>
      <c r="J455">
        <v>265</v>
      </c>
      <c r="K455">
        <v>1149040</v>
      </c>
      <c r="L455">
        <v>191968</v>
      </c>
      <c r="M455">
        <v>957072</v>
      </c>
      <c r="N455">
        <v>634675</v>
      </c>
      <c r="O455">
        <v>322397</v>
      </c>
      <c r="P455">
        <v>33.69</v>
      </c>
      <c r="Q455">
        <v>8</v>
      </c>
      <c r="R455">
        <v>31216</v>
      </c>
      <c r="S455">
        <v>4.49</v>
      </c>
      <c r="T455">
        <v>75</v>
      </c>
      <c r="U455">
        <v>4.08</v>
      </c>
      <c r="V455">
        <v>623332</v>
      </c>
      <c r="W455">
        <v>3263692</v>
      </c>
      <c r="X455">
        <v>5.24</v>
      </c>
      <c r="Y455" t="s">
        <v>29</v>
      </c>
    </row>
    <row r="456" spans="1:25" x14ac:dyDescent="0.3">
      <c r="A456" t="s">
        <v>947</v>
      </c>
      <c r="B456" t="s">
        <v>948</v>
      </c>
      <c r="C456" t="s">
        <v>940</v>
      </c>
      <c r="D456" s="1">
        <v>45434</v>
      </c>
      <c r="E456">
        <v>313</v>
      </c>
      <c r="F456" t="s">
        <v>28</v>
      </c>
      <c r="G456">
        <v>18427</v>
      </c>
      <c r="H456">
        <v>8828</v>
      </c>
      <c r="I456">
        <v>55</v>
      </c>
      <c r="J456">
        <v>79</v>
      </c>
      <c r="K456">
        <v>1455733</v>
      </c>
      <c r="L456">
        <v>213716</v>
      </c>
      <c r="M456">
        <v>1242017</v>
      </c>
      <c r="N456">
        <v>697412</v>
      </c>
      <c r="O456">
        <v>544605</v>
      </c>
      <c r="P456">
        <v>43.85</v>
      </c>
      <c r="Q456">
        <v>0</v>
      </c>
      <c r="R456">
        <v>0</v>
      </c>
      <c r="S456">
        <v>0</v>
      </c>
      <c r="T456">
        <v>21</v>
      </c>
      <c r="U456">
        <v>4.76</v>
      </c>
      <c r="V456">
        <v>286874</v>
      </c>
      <c r="W456">
        <v>8406133</v>
      </c>
      <c r="X456">
        <v>29.3</v>
      </c>
      <c r="Y456" t="s">
        <v>39</v>
      </c>
    </row>
    <row r="457" spans="1:25" x14ac:dyDescent="0.3">
      <c r="A457" t="s">
        <v>949</v>
      </c>
      <c r="B457" t="s">
        <v>950</v>
      </c>
      <c r="C457" t="s">
        <v>940</v>
      </c>
      <c r="D457" s="1">
        <v>45508</v>
      </c>
      <c r="E457">
        <v>239</v>
      </c>
      <c r="F457" t="s">
        <v>28</v>
      </c>
      <c r="G457">
        <v>4505</v>
      </c>
      <c r="H457">
        <v>3844</v>
      </c>
      <c r="I457">
        <v>116</v>
      </c>
      <c r="J457">
        <v>182</v>
      </c>
      <c r="K457">
        <v>819910</v>
      </c>
      <c r="L457">
        <v>138859</v>
      </c>
      <c r="M457">
        <v>681051</v>
      </c>
      <c r="N457">
        <v>699608</v>
      </c>
      <c r="O457">
        <v>-18557</v>
      </c>
      <c r="P457">
        <v>-2.72</v>
      </c>
      <c r="Q457">
        <v>6</v>
      </c>
      <c r="R457">
        <v>24324</v>
      </c>
      <c r="S457">
        <v>5.17</v>
      </c>
      <c r="T457">
        <v>42</v>
      </c>
      <c r="U457">
        <v>3.33</v>
      </c>
      <c r="V457">
        <v>268952</v>
      </c>
      <c r="W457">
        <v>843674</v>
      </c>
      <c r="X457">
        <v>3.14</v>
      </c>
      <c r="Y457" t="s">
        <v>39</v>
      </c>
    </row>
    <row r="458" spans="1:25" x14ac:dyDescent="0.3">
      <c r="A458" t="s">
        <v>951</v>
      </c>
      <c r="B458" t="s">
        <v>952</v>
      </c>
      <c r="C458" t="s">
        <v>940</v>
      </c>
      <c r="D458" s="1">
        <v>45186</v>
      </c>
      <c r="E458">
        <v>561</v>
      </c>
      <c r="F458" t="s">
        <v>28</v>
      </c>
      <c r="G458">
        <v>8433</v>
      </c>
      <c r="H458">
        <v>6551</v>
      </c>
      <c r="I458">
        <v>88</v>
      </c>
      <c r="J458">
        <v>135</v>
      </c>
      <c r="K458">
        <v>1138455</v>
      </c>
      <c r="L458">
        <v>103043</v>
      </c>
      <c r="M458">
        <v>1035412</v>
      </c>
      <c r="N458">
        <v>884385</v>
      </c>
      <c r="O458">
        <v>151027</v>
      </c>
      <c r="P458">
        <v>14.59</v>
      </c>
      <c r="Q458">
        <v>11</v>
      </c>
      <c r="R458">
        <v>83479</v>
      </c>
      <c r="S458">
        <v>12.5</v>
      </c>
      <c r="T458">
        <v>44</v>
      </c>
      <c r="U458">
        <v>3.15</v>
      </c>
      <c r="V458">
        <v>364591</v>
      </c>
      <c r="W458">
        <v>6028547</v>
      </c>
      <c r="X458">
        <v>16.54</v>
      </c>
      <c r="Y458" t="s">
        <v>39</v>
      </c>
    </row>
    <row r="459" spans="1:25" x14ac:dyDescent="0.3">
      <c r="A459" t="s">
        <v>953</v>
      </c>
      <c r="B459" t="s">
        <v>954</v>
      </c>
      <c r="C459" t="s">
        <v>940</v>
      </c>
      <c r="D459" s="1">
        <v>45395</v>
      </c>
      <c r="E459">
        <v>352</v>
      </c>
      <c r="F459" t="s">
        <v>28</v>
      </c>
      <c r="G459">
        <v>10093</v>
      </c>
      <c r="H459">
        <v>5254</v>
      </c>
      <c r="I459">
        <v>86</v>
      </c>
      <c r="J459">
        <v>128</v>
      </c>
      <c r="K459">
        <v>1291904</v>
      </c>
      <c r="L459">
        <v>197420</v>
      </c>
      <c r="M459">
        <v>1094484</v>
      </c>
      <c r="N459">
        <v>672512</v>
      </c>
      <c r="O459">
        <v>421972</v>
      </c>
      <c r="P459">
        <v>38.549999999999997</v>
      </c>
      <c r="Q459">
        <v>2</v>
      </c>
      <c r="R459">
        <v>18166</v>
      </c>
      <c r="S459">
        <v>2.33</v>
      </c>
      <c r="T459">
        <v>44</v>
      </c>
      <c r="U459">
        <v>4.4800000000000004</v>
      </c>
      <c r="V459">
        <v>614035</v>
      </c>
      <c r="W459">
        <v>7959280</v>
      </c>
      <c r="X459">
        <v>12.96</v>
      </c>
      <c r="Y459" t="s">
        <v>29</v>
      </c>
    </row>
    <row r="460" spans="1:25" x14ac:dyDescent="0.3">
      <c r="A460" t="s">
        <v>955</v>
      </c>
      <c r="B460" t="s">
        <v>956</v>
      </c>
      <c r="C460" t="s">
        <v>940</v>
      </c>
      <c r="D460" s="1">
        <v>45523</v>
      </c>
      <c r="E460">
        <v>224</v>
      </c>
      <c r="F460" t="s">
        <v>28</v>
      </c>
      <c r="G460">
        <v>9820</v>
      </c>
      <c r="H460">
        <v>5803</v>
      </c>
      <c r="I460">
        <v>37</v>
      </c>
      <c r="J460">
        <v>55</v>
      </c>
      <c r="K460">
        <v>540100</v>
      </c>
      <c r="L460">
        <v>64856</v>
      </c>
      <c r="M460">
        <v>475244</v>
      </c>
      <c r="N460">
        <v>319165</v>
      </c>
      <c r="O460">
        <v>156079</v>
      </c>
      <c r="P460">
        <v>32.840000000000003</v>
      </c>
      <c r="Q460">
        <v>1</v>
      </c>
      <c r="R460">
        <v>8838</v>
      </c>
      <c r="S460">
        <v>2.7</v>
      </c>
      <c r="T460">
        <v>17</v>
      </c>
      <c r="U460">
        <v>4.03</v>
      </c>
      <c r="V460">
        <v>650052</v>
      </c>
      <c r="W460">
        <v>6349274</v>
      </c>
      <c r="X460">
        <v>9.77</v>
      </c>
      <c r="Y460" t="s">
        <v>29</v>
      </c>
    </row>
    <row r="461" spans="1:25" x14ac:dyDescent="0.3">
      <c r="A461" t="s">
        <v>957</v>
      </c>
      <c r="B461" t="s">
        <v>958</v>
      </c>
      <c r="C461" t="s">
        <v>940</v>
      </c>
      <c r="D461" s="1">
        <v>45410</v>
      </c>
      <c r="E461">
        <v>337</v>
      </c>
      <c r="F461" t="s">
        <v>28</v>
      </c>
      <c r="G461">
        <v>4080</v>
      </c>
      <c r="H461">
        <v>2275</v>
      </c>
      <c r="I461">
        <v>47</v>
      </c>
      <c r="J461">
        <v>68</v>
      </c>
      <c r="K461">
        <v>277440</v>
      </c>
      <c r="L461">
        <v>36507</v>
      </c>
      <c r="M461">
        <v>240933</v>
      </c>
      <c r="N461">
        <v>154700</v>
      </c>
      <c r="O461">
        <v>86233</v>
      </c>
      <c r="P461">
        <v>35.79</v>
      </c>
      <c r="Q461">
        <v>9</v>
      </c>
      <c r="R461">
        <v>33048</v>
      </c>
      <c r="S461">
        <v>19.149999999999999</v>
      </c>
      <c r="T461">
        <v>21</v>
      </c>
      <c r="U461">
        <v>4.12</v>
      </c>
      <c r="V461">
        <v>193914</v>
      </c>
      <c r="W461">
        <v>1820756</v>
      </c>
      <c r="X461">
        <v>9.39</v>
      </c>
      <c r="Y461" t="s">
        <v>39</v>
      </c>
    </row>
    <row r="462" spans="1:25" x14ac:dyDescent="0.3">
      <c r="A462" t="s">
        <v>959</v>
      </c>
      <c r="B462" t="s">
        <v>960</v>
      </c>
      <c r="C462" t="s">
        <v>940</v>
      </c>
      <c r="D462" s="1">
        <v>45267</v>
      </c>
      <c r="E462">
        <v>480</v>
      </c>
      <c r="F462" t="s">
        <v>28</v>
      </c>
      <c r="G462">
        <v>9668</v>
      </c>
      <c r="H462">
        <v>4883</v>
      </c>
      <c r="I462">
        <v>64</v>
      </c>
      <c r="J462">
        <v>98</v>
      </c>
      <c r="K462">
        <v>947464</v>
      </c>
      <c r="L462">
        <v>147217</v>
      </c>
      <c r="M462">
        <v>800247</v>
      </c>
      <c r="N462">
        <v>478534</v>
      </c>
      <c r="O462">
        <v>321713</v>
      </c>
      <c r="P462">
        <v>40.200000000000003</v>
      </c>
      <c r="Q462">
        <v>10</v>
      </c>
      <c r="R462">
        <v>87010</v>
      </c>
      <c r="S462">
        <v>15.63</v>
      </c>
      <c r="T462">
        <v>20</v>
      </c>
      <c r="U462">
        <v>4.55</v>
      </c>
      <c r="V462">
        <v>624246</v>
      </c>
      <c r="W462">
        <v>5322028</v>
      </c>
      <c r="X462">
        <v>8.5299999999999994</v>
      </c>
      <c r="Y462" t="s">
        <v>39</v>
      </c>
    </row>
    <row r="463" spans="1:25" x14ac:dyDescent="0.3">
      <c r="A463" t="s">
        <v>961</v>
      </c>
      <c r="B463" t="s">
        <v>962</v>
      </c>
      <c r="C463" t="s">
        <v>940</v>
      </c>
      <c r="D463" s="1">
        <v>44999</v>
      </c>
      <c r="E463">
        <v>748</v>
      </c>
      <c r="F463" t="s">
        <v>28</v>
      </c>
      <c r="G463">
        <v>9047</v>
      </c>
      <c r="H463">
        <v>5088</v>
      </c>
      <c r="I463">
        <v>84</v>
      </c>
      <c r="J463">
        <v>125</v>
      </c>
      <c r="K463">
        <v>1130875</v>
      </c>
      <c r="L463">
        <v>103901</v>
      </c>
      <c r="M463">
        <v>1026974</v>
      </c>
      <c r="N463">
        <v>636000</v>
      </c>
      <c r="O463">
        <v>390974</v>
      </c>
      <c r="P463">
        <v>38.07</v>
      </c>
      <c r="Q463">
        <v>7</v>
      </c>
      <c r="R463">
        <v>56994</v>
      </c>
      <c r="S463">
        <v>8.33</v>
      </c>
      <c r="T463">
        <v>31</v>
      </c>
      <c r="U463">
        <v>4</v>
      </c>
      <c r="V463">
        <v>74968</v>
      </c>
      <c r="W463">
        <v>902600</v>
      </c>
      <c r="X463">
        <v>12.04</v>
      </c>
      <c r="Y463" t="s">
        <v>61</v>
      </c>
    </row>
    <row r="464" spans="1:25" x14ac:dyDescent="0.3">
      <c r="A464" t="s">
        <v>963</v>
      </c>
      <c r="B464" t="s">
        <v>964</v>
      </c>
      <c r="C464" t="s">
        <v>940</v>
      </c>
      <c r="D464" s="1">
        <v>44868</v>
      </c>
      <c r="E464">
        <v>879</v>
      </c>
      <c r="F464" t="s">
        <v>28</v>
      </c>
      <c r="G464">
        <v>6983</v>
      </c>
      <c r="H464">
        <v>3916</v>
      </c>
      <c r="I464">
        <v>141</v>
      </c>
      <c r="J464">
        <v>205</v>
      </c>
      <c r="K464">
        <v>1431515</v>
      </c>
      <c r="L464">
        <v>194573</v>
      </c>
      <c r="M464">
        <v>1236942</v>
      </c>
      <c r="N464">
        <v>802780</v>
      </c>
      <c r="O464">
        <v>434162</v>
      </c>
      <c r="P464">
        <v>35.1</v>
      </c>
      <c r="Q464">
        <v>19</v>
      </c>
      <c r="R464">
        <v>119396</v>
      </c>
      <c r="S464">
        <v>13.48</v>
      </c>
      <c r="T464">
        <v>56</v>
      </c>
      <c r="U464">
        <v>4.17</v>
      </c>
      <c r="V464">
        <v>777043</v>
      </c>
      <c r="W464">
        <v>6545113</v>
      </c>
      <c r="X464">
        <v>8.42</v>
      </c>
      <c r="Y464" t="s">
        <v>39</v>
      </c>
    </row>
    <row r="465" spans="1:25" x14ac:dyDescent="0.3">
      <c r="A465" t="s">
        <v>965</v>
      </c>
      <c r="B465" t="s">
        <v>966</v>
      </c>
      <c r="C465" t="s">
        <v>940</v>
      </c>
      <c r="D465" s="1">
        <v>45358</v>
      </c>
      <c r="E465">
        <v>389</v>
      </c>
      <c r="F465" t="s">
        <v>28</v>
      </c>
      <c r="G465">
        <v>18690</v>
      </c>
      <c r="H465">
        <v>13550</v>
      </c>
      <c r="I465">
        <v>26</v>
      </c>
      <c r="J465">
        <v>40</v>
      </c>
      <c r="K465">
        <v>747600</v>
      </c>
      <c r="L465">
        <v>101003</v>
      </c>
      <c r="M465">
        <v>646597</v>
      </c>
      <c r="N465">
        <v>542000</v>
      </c>
      <c r="O465">
        <v>104597</v>
      </c>
      <c r="P465">
        <v>16.18</v>
      </c>
      <c r="Q465">
        <v>1</v>
      </c>
      <c r="R465">
        <v>16821</v>
      </c>
      <c r="S465">
        <v>3.85</v>
      </c>
      <c r="T465">
        <v>13</v>
      </c>
      <c r="U465">
        <v>3.62</v>
      </c>
      <c r="V465">
        <v>143461</v>
      </c>
      <c r="W465">
        <v>4384072</v>
      </c>
      <c r="X465">
        <v>30.56</v>
      </c>
      <c r="Y465" t="s">
        <v>39</v>
      </c>
    </row>
    <row r="466" spans="1:25" x14ac:dyDescent="0.3">
      <c r="A466" t="s">
        <v>967</v>
      </c>
      <c r="B466" t="s">
        <v>968</v>
      </c>
      <c r="C466" t="s">
        <v>940</v>
      </c>
      <c r="D466" s="1">
        <v>45642</v>
      </c>
      <c r="E466">
        <v>105</v>
      </c>
      <c r="F466" t="s">
        <v>28</v>
      </c>
      <c r="G466">
        <v>12998</v>
      </c>
      <c r="H466">
        <v>9261</v>
      </c>
      <c r="I466">
        <v>77</v>
      </c>
      <c r="J466">
        <v>112</v>
      </c>
      <c r="K466">
        <v>1455776</v>
      </c>
      <c r="L466">
        <v>185819</v>
      </c>
      <c r="M466">
        <v>1269957</v>
      </c>
      <c r="N466">
        <v>1037232</v>
      </c>
      <c r="O466">
        <v>232725</v>
      </c>
      <c r="P466">
        <v>18.329999999999998</v>
      </c>
      <c r="Q466">
        <v>10</v>
      </c>
      <c r="R466">
        <v>116980</v>
      </c>
      <c r="S466">
        <v>12.99</v>
      </c>
      <c r="T466">
        <v>38</v>
      </c>
      <c r="U466">
        <v>3.67</v>
      </c>
      <c r="V466">
        <v>360134</v>
      </c>
      <c r="W466">
        <v>2800918</v>
      </c>
      <c r="X466">
        <v>7.78</v>
      </c>
      <c r="Y466" t="s">
        <v>39</v>
      </c>
    </row>
    <row r="467" spans="1:25" x14ac:dyDescent="0.3">
      <c r="A467" t="s">
        <v>969</v>
      </c>
      <c r="B467" t="s">
        <v>970</v>
      </c>
      <c r="C467" t="s">
        <v>940</v>
      </c>
      <c r="D467" s="1">
        <v>45483</v>
      </c>
      <c r="E467">
        <v>264</v>
      </c>
      <c r="F467" t="s">
        <v>28</v>
      </c>
      <c r="G467">
        <v>14817</v>
      </c>
      <c r="H467">
        <v>7801</v>
      </c>
      <c r="I467">
        <v>42</v>
      </c>
      <c r="J467">
        <v>64</v>
      </c>
      <c r="K467">
        <v>948288</v>
      </c>
      <c r="L467">
        <v>148870</v>
      </c>
      <c r="M467">
        <v>799418</v>
      </c>
      <c r="N467">
        <v>499264</v>
      </c>
      <c r="O467">
        <v>300154</v>
      </c>
      <c r="P467">
        <v>37.549999999999997</v>
      </c>
      <c r="Q467">
        <v>6</v>
      </c>
      <c r="R467">
        <v>80010</v>
      </c>
      <c r="S467">
        <v>14.29</v>
      </c>
      <c r="T467">
        <v>16</v>
      </c>
      <c r="U467">
        <v>4.16</v>
      </c>
      <c r="V467">
        <v>81068</v>
      </c>
      <c r="W467">
        <v>2871228</v>
      </c>
      <c r="X467">
        <v>35.42</v>
      </c>
      <c r="Y467" t="s">
        <v>61</v>
      </c>
    </row>
    <row r="468" spans="1:25" x14ac:dyDescent="0.3">
      <c r="A468" t="s">
        <v>971</v>
      </c>
      <c r="B468" t="s">
        <v>972</v>
      </c>
      <c r="C468" t="s">
        <v>940</v>
      </c>
      <c r="D468" s="1">
        <v>45016</v>
      </c>
      <c r="E468">
        <v>731</v>
      </c>
      <c r="F468" t="s">
        <v>28</v>
      </c>
      <c r="G468">
        <v>6639</v>
      </c>
      <c r="H468">
        <v>5096</v>
      </c>
      <c r="I468">
        <v>71</v>
      </c>
      <c r="J468">
        <v>108</v>
      </c>
      <c r="K468">
        <v>717012</v>
      </c>
      <c r="L468">
        <v>99827</v>
      </c>
      <c r="M468">
        <v>617185</v>
      </c>
      <c r="N468">
        <v>550368</v>
      </c>
      <c r="O468">
        <v>66817</v>
      </c>
      <c r="P468">
        <v>10.83</v>
      </c>
      <c r="Q468">
        <v>6</v>
      </c>
      <c r="R468">
        <v>35850</v>
      </c>
      <c r="S468">
        <v>8.4499999999999993</v>
      </c>
      <c r="T468">
        <v>25</v>
      </c>
      <c r="U468">
        <v>3.46</v>
      </c>
      <c r="V468">
        <v>204503</v>
      </c>
      <c r="W468">
        <v>2206529</v>
      </c>
      <c r="X468">
        <v>10.79</v>
      </c>
      <c r="Y468" t="s">
        <v>39</v>
      </c>
    </row>
    <row r="469" spans="1:25" x14ac:dyDescent="0.3">
      <c r="A469" t="s">
        <v>973</v>
      </c>
      <c r="B469" t="s">
        <v>974</v>
      </c>
      <c r="C469" t="s">
        <v>940</v>
      </c>
      <c r="D469" s="1">
        <v>45404</v>
      </c>
      <c r="E469">
        <v>343</v>
      </c>
      <c r="F469" t="s">
        <v>28</v>
      </c>
      <c r="G469">
        <v>1630</v>
      </c>
      <c r="H469">
        <v>1152</v>
      </c>
      <c r="I469">
        <v>110</v>
      </c>
      <c r="J469">
        <v>160</v>
      </c>
      <c r="K469">
        <v>260800</v>
      </c>
      <c r="L469">
        <v>31349</v>
      </c>
      <c r="M469">
        <v>229451</v>
      </c>
      <c r="N469">
        <v>184320</v>
      </c>
      <c r="O469">
        <v>45131</v>
      </c>
      <c r="P469">
        <v>19.670000000000002</v>
      </c>
      <c r="Q469">
        <v>12</v>
      </c>
      <c r="R469">
        <v>17604</v>
      </c>
      <c r="S469">
        <v>10.91</v>
      </c>
      <c r="T469">
        <v>45</v>
      </c>
      <c r="U469">
        <v>3.77</v>
      </c>
      <c r="V469">
        <v>242236</v>
      </c>
      <c r="W469">
        <v>522657</v>
      </c>
      <c r="X469">
        <v>2.16</v>
      </c>
      <c r="Y469" t="s">
        <v>39</v>
      </c>
    </row>
    <row r="470" spans="1:25" x14ac:dyDescent="0.3">
      <c r="A470" t="s">
        <v>975</v>
      </c>
      <c r="B470" t="s">
        <v>976</v>
      </c>
      <c r="C470" t="s">
        <v>940</v>
      </c>
      <c r="D470" s="1">
        <v>45165</v>
      </c>
      <c r="E470">
        <v>582</v>
      </c>
      <c r="F470" t="s">
        <v>28</v>
      </c>
      <c r="G470">
        <v>1607</v>
      </c>
      <c r="H470">
        <v>1335</v>
      </c>
      <c r="I470">
        <v>295</v>
      </c>
      <c r="J470">
        <v>439</v>
      </c>
      <c r="K470">
        <v>705473</v>
      </c>
      <c r="L470">
        <v>93750</v>
      </c>
      <c r="M470">
        <v>611723</v>
      </c>
      <c r="N470">
        <v>586065</v>
      </c>
      <c r="O470">
        <v>25658</v>
      </c>
      <c r="P470">
        <v>4.1900000000000004</v>
      </c>
      <c r="Q470">
        <v>11</v>
      </c>
      <c r="R470">
        <v>15906</v>
      </c>
      <c r="S470">
        <v>3.73</v>
      </c>
      <c r="T470">
        <v>107</v>
      </c>
      <c r="U470">
        <v>3.17</v>
      </c>
      <c r="V470">
        <v>81019</v>
      </c>
      <c r="W470">
        <v>203021</v>
      </c>
      <c r="X470">
        <v>2.5099999999999998</v>
      </c>
      <c r="Y470" t="s">
        <v>39</v>
      </c>
    </row>
    <row r="471" spans="1:25" x14ac:dyDescent="0.3">
      <c r="A471" t="s">
        <v>977</v>
      </c>
      <c r="B471" t="s">
        <v>978</v>
      </c>
      <c r="C471" t="s">
        <v>940</v>
      </c>
      <c r="D471" s="1">
        <v>45637</v>
      </c>
      <c r="E471">
        <v>110</v>
      </c>
      <c r="F471" t="s">
        <v>28</v>
      </c>
      <c r="G471">
        <v>18326</v>
      </c>
      <c r="H471">
        <v>13540</v>
      </c>
      <c r="I471">
        <v>27</v>
      </c>
      <c r="J471">
        <v>42</v>
      </c>
      <c r="K471">
        <v>769692</v>
      </c>
      <c r="L471">
        <v>132416</v>
      </c>
      <c r="M471">
        <v>637276</v>
      </c>
      <c r="N471">
        <v>568680</v>
      </c>
      <c r="O471">
        <v>68596</v>
      </c>
      <c r="P471">
        <v>10.76</v>
      </c>
      <c r="Q471">
        <v>0</v>
      </c>
      <c r="R471">
        <v>0</v>
      </c>
      <c r="S471">
        <v>0</v>
      </c>
      <c r="T471">
        <v>14</v>
      </c>
      <c r="U471">
        <v>3.5</v>
      </c>
      <c r="V471">
        <v>522932</v>
      </c>
      <c r="W471">
        <v>12636106</v>
      </c>
      <c r="X471">
        <v>24.16</v>
      </c>
      <c r="Y471" t="s">
        <v>39</v>
      </c>
    </row>
    <row r="472" spans="1:25" x14ac:dyDescent="0.3">
      <c r="A472" t="s">
        <v>979</v>
      </c>
      <c r="B472" t="s">
        <v>980</v>
      </c>
      <c r="C472" t="s">
        <v>940</v>
      </c>
      <c r="D472" s="1">
        <v>45384</v>
      </c>
      <c r="E472">
        <v>363</v>
      </c>
      <c r="F472" t="s">
        <v>28</v>
      </c>
      <c r="G472">
        <v>5521</v>
      </c>
      <c r="H472">
        <v>3935</v>
      </c>
      <c r="I472">
        <v>85</v>
      </c>
      <c r="J472">
        <v>133</v>
      </c>
      <c r="K472">
        <v>734293</v>
      </c>
      <c r="L472">
        <v>95157</v>
      </c>
      <c r="M472">
        <v>639136</v>
      </c>
      <c r="N472">
        <v>523355</v>
      </c>
      <c r="O472">
        <v>115781</v>
      </c>
      <c r="P472">
        <v>18.12</v>
      </c>
      <c r="Q472">
        <v>5</v>
      </c>
      <c r="R472">
        <v>24840</v>
      </c>
      <c r="S472">
        <v>5.88</v>
      </c>
      <c r="T472">
        <v>33</v>
      </c>
      <c r="U472">
        <v>3.55</v>
      </c>
      <c r="V472">
        <v>427408</v>
      </c>
      <c r="W472">
        <v>2082767</v>
      </c>
      <c r="X472">
        <v>4.87</v>
      </c>
      <c r="Y472" t="s">
        <v>39</v>
      </c>
    </row>
    <row r="473" spans="1:25" x14ac:dyDescent="0.3">
      <c r="A473" t="s">
        <v>981</v>
      </c>
      <c r="B473" t="s">
        <v>982</v>
      </c>
      <c r="C473" t="s">
        <v>940</v>
      </c>
      <c r="D473" s="1">
        <v>45605</v>
      </c>
      <c r="E473">
        <v>142</v>
      </c>
      <c r="F473" t="s">
        <v>28</v>
      </c>
      <c r="G473">
        <v>9918</v>
      </c>
      <c r="H473">
        <v>7951</v>
      </c>
      <c r="I473">
        <v>84</v>
      </c>
      <c r="J473">
        <v>124</v>
      </c>
      <c r="K473">
        <v>1229832</v>
      </c>
      <c r="L473">
        <v>128692</v>
      </c>
      <c r="M473">
        <v>1101140</v>
      </c>
      <c r="N473">
        <v>985924</v>
      </c>
      <c r="O473">
        <v>115216</v>
      </c>
      <c r="P473">
        <v>10.46</v>
      </c>
      <c r="Q473">
        <v>13</v>
      </c>
      <c r="R473">
        <v>116038</v>
      </c>
      <c r="S473">
        <v>15.48</v>
      </c>
      <c r="T473">
        <v>35</v>
      </c>
      <c r="U473">
        <v>3.34</v>
      </c>
      <c r="V473">
        <v>287919</v>
      </c>
      <c r="W473">
        <v>4319474</v>
      </c>
      <c r="X473">
        <v>15</v>
      </c>
      <c r="Y473" t="s">
        <v>39</v>
      </c>
    </row>
    <row r="474" spans="1:25" x14ac:dyDescent="0.3">
      <c r="A474" t="s">
        <v>983</v>
      </c>
      <c r="B474" t="s">
        <v>984</v>
      </c>
      <c r="C474" t="s">
        <v>940</v>
      </c>
      <c r="D474" s="1">
        <v>45492</v>
      </c>
      <c r="E474">
        <v>255</v>
      </c>
      <c r="F474" t="s">
        <v>28</v>
      </c>
      <c r="G474">
        <v>14902</v>
      </c>
      <c r="H474">
        <v>11800</v>
      </c>
      <c r="I474">
        <v>57</v>
      </c>
      <c r="J474">
        <v>83</v>
      </c>
      <c r="K474">
        <v>1236866</v>
      </c>
      <c r="L474">
        <v>193763</v>
      </c>
      <c r="M474">
        <v>1043103</v>
      </c>
      <c r="N474">
        <v>979400</v>
      </c>
      <c r="O474">
        <v>63703</v>
      </c>
      <c r="P474">
        <v>6.11</v>
      </c>
      <c r="Q474">
        <v>5</v>
      </c>
      <c r="R474">
        <v>67055</v>
      </c>
      <c r="S474">
        <v>8.77</v>
      </c>
      <c r="T474">
        <v>24</v>
      </c>
      <c r="U474">
        <v>3.13</v>
      </c>
      <c r="V474">
        <v>569915</v>
      </c>
      <c r="W474">
        <v>8045451</v>
      </c>
      <c r="X474">
        <v>14.12</v>
      </c>
      <c r="Y474" t="s">
        <v>39</v>
      </c>
    </row>
    <row r="475" spans="1:25" x14ac:dyDescent="0.3">
      <c r="A475" t="s">
        <v>985</v>
      </c>
      <c r="B475" t="s">
        <v>986</v>
      </c>
      <c r="C475" t="s">
        <v>940</v>
      </c>
      <c r="D475" s="1">
        <v>45388</v>
      </c>
      <c r="E475">
        <v>359</v>
      </c>
      <c r="F475" t="s">
        <v>28</v>
      </c>
      <c r="G475">
        <v>4014</v>
      </c>
      <c r="H475">
        <v>2915</v>
      </c>
      <c r="I475">
        <v>175</v>
      </c>
      <c r="J475">
        <v>269</v>
      </c>
      <c r="K475">
        <v>1079766</v>
      </c>
      <c r="L475">
        <v>183529</v>
      </c>
      <c r="M475">
        <v>896237</v>
      </c>
      <c r="N475">
        <v>784135</v>
      </c>
      <c r="O475">
        <v>112102</v>
      </c>
      <c r="P475">
        <v>12.51</v>
      </c>
      <c r="Q475">
        <v>17</v>
      </c>
      <c r="R475">
        <v>61404</v>
      </c>
      <c r="S475">
        <v>9.7100000000000009</v>
      </c>
      <c r="T475">
        <v>69</v>
      </c>
      <c r="U475">
        <v>3.46</v>
      </c>
      <c r="V475">
        <v>94238</v>
      </c>
      <c r="W475">
        <v>678280</v>
      </c>
      <c r="X475">
        <v>7.2</v>
      </c>
      <c r="Y475" t="s">
        <v>39</v>
      </c>
    </row>
    <row r="476" spans="1:25" x14ac:dyDescent="0.3">
      <c r="A476" t="s">
        <v>987</v>
      </c>
      <c r="B476" t="s">
        <v>988</v>
      </c>
      <c r="C476" t="s">
        <v>940</v>
      </c>
      <c r="D476" s="1">
        <v>45138</v>
      </c>
      <c r="E476">
        <v>609</v>
      </c>
      <c r="F476" t="s">
        <v>28</v>
      </c>
      <c r="G476">
        <v>14899</v>
      </c>
      <c r="H476">
        <v>10145</v>
      </c>
      <c r="I476">
        <v>91</v>
      </c>
      <c r="J476">
        <v>138</v>
      </c>
      <c r="K476">
        <v>2056062</v>
      </c>
      <c r="L476">
        <v>280908</v>
      </c>
      <c r="M476">
        <v>1775154</v>
      </c>
      <c r="N476">
        <v>1400010</v>
      </c>
      <c r="O476">
        <v>375144</v>
      </c>
      <c r="P476">
        <v>21.13</v>
      </c>
      <c r="Q476">
        <v>3</v>
      </c>
      <c r="R476">
        <v>40227</v>
      </c>
      <c r="S476">
        <v>3.3</v>
      </c>
      <c r="T476">
        <v>37</v>
      </c>
      <c r="U476">
        <v>3.96</v>
      </c>
      <c r="V476">
        <v>177760</v>
      </c>
      <c r="W476">
        <v>2562899</v>
      </c>
      <c r="X476">
        <v>14.42</v>
      </c>
      <c r="Y476" t="s">
        <v>39</v>
      </c>
    </row>
    <row r="477" spans="1:25" x14ac:dyDescent="0.3">
      <c r="A477" t="s">
        <v>989</v>
      </c>
      <c r="B477" t="s">
        <v>990</v>
      </c>
      <c r="C477" t="s">
        <v>940</v>
      </c>
      <c r="D477" s="1">
        <v>44902</v>
      </c>
      <c r="E477">
        <v>845</v>
      </c>
      <c r="F477" t="s">
        <v>28</v>
      </c>
      <c r="G477">
        <v>17771</v>
      </c>
      <c r="H477">
        <v>15935</v>
      </c>
      <c r="I477">
        <v>42</v>
      </c>
      <c r="J477">
        <v>66</v>
      </c>
      <c r="K477">
        <v>1172886</v>
      </c>
      <c r="L477">
        <v>165823</v>
      </c>
      <c r="M477">
        <v>1007063</v>
      </c>
      <c r="N477">
        <v>1051710</v>
      </c>
      <c r="O477">
        <v>-44647</v>
      </c>
      <c r="P477">
        <v>-4.43</v>
      </c>
      <c r="Q477">
        <v>1</v>
      </c>
      <c r="R477">
        <v>15993</v>
      </c>
      <c r="S477">
        <v>2.38</v>
      </c>
      <c r="T477">
        <v>16</v>
      </c>
      <c r="U477">
        <v>2.75</v>
      </c>
      <c r="V477">
        <v>495417</v>
      </c>
      <c r="W477">
        <v>11198433</v>
      </c>
      <c r="X477">
        <v>22.6</v>
      </c>
      <c r="Y477" t="s">
        <v>39</v>
      </c>
    </row>
    <row r="478" spans="1:25" x14ac:dyDescent="0.3">
      <c r="A478" t="s">
        <v>991</v>
      </c>
      <c r="B478" t="s">
        <v>992</v>
      </c>
      <c r="C478" t="s">
        <v>940</v>
      </c>
      <c r="D478" s="1">
        <v>45554</v>
      </c>
      <c r="E478">
        <v>193</v>
      </c>
      <c r="F478" t="s">
        <v>28</v>
      </c>
      <c r="G478">
        <v>7035</v>
      </c>
      <c r="H478">
        <v>4629</v>
      </c>
      <c r="I478">
        <v>41</v>
      </c>
      <c r="J478">
        <v>58</v>
      </c>
      <c r="K478">
        <v>408030</v>
      </c>
      <c r="L478">
        <v>73609</v>
      </c>
      <c r="M478">
        <v>334421</v>
      </c>
      <c r="N478">
        <v>268482</v>
      </c>
      <c r="O478">
        <v>65939</v>
      </c>
      <c r="P478">
        <v>19.72</v>
      </c>
      <c r="Q478">
        <v>2</v>
      </c>
      <c r="R478">
        <v>12662</v>
      </c>
      <c r="S478">
        <v>4.88</v>
      </c>
      <c r="T478">
        <v>16</v>
      </c>
      <c r="U478">
        <v>3.94</v>
      </c>
      <c r="V478">
        <v>406988</v>
      </c>
      <c r="W478">
        <v>3564227</v>
      </c>
      <c r="X478">
        <v>8.76</v>
      </c>
      <c r="Y478" t="s">
        <v>39</v>
      </c>
    </row>
    <row r="479" spans="1:25" x14ac:dyDescent="0.3">
      <c r="A479" t="s">
        <v>993</v>
      </c>
      <c r="B479" t="s">
        <v>994</v>
      </c>
      <c r="C479" t="s">
        <v>940</v>
      </c>
      <c r="D479" s="1">
        <v>45174</v>
      </c>
      <c r="E479">
        <v>573</v>
      </c>
      <c r="F479" t="s">
        <v>28</v>
      </c>
      <c r="G479">
        <v>1077</v>
      </c>
      <c r="H479">
        <v>746</v>
      </c>
      <c r="I479">
        <v>168</v>
      </c>
      <c r="J479">
        <v>248</v>
      </c>
      <c r="K479">
        <v>267096</v>
      </c>
      <c r="L479">
        <v>53178</v>
      </c>
      <c r="M479">
        <v>213918</v>
      </c>
      <c r="N479">
        <v>185008</v>
      </c>
      <c r="O479">
        <v>28910</v>
      </c>
      <c r="P479">
        <v>13.51</v>
      </c>
      <c r="Q479">
        <v>26</v>
      </c>
      <c r="R479">
        <v>25194</v>
      </c>
      <c r="S479">
        <v>15.48</v>
      </c>
      <c r="T479">
        <v>59</v>
      </c>
      <c r="U479">
        <v>3.76</v>
      </c>
      <c r="V479">
        <v>83254</v>
      </c>
      <c r="W479">
        <v>111818</v>
      </c>
      <c r="X479">
        <v>1.34</v>
      </c>
      <c r="Y479" t="s">
        <v>39</v>
      </c>
    </row>
    <row r="480" spans="1:25" x14ac:dyDescent="0.3">
      <c r="A480" t="s">
        <v>995</v>
      </c>
      <c r="B480" t="s">
        <v>996</v>
      </c>
      <c r="C480" t="s">
        <v>940</v>
      </c>
      <c r="D480" s="1">
        <v>45252</v>
      </c>
      <c r="E480">
        <v>495</v>
      </c>
      <c r="F480" t="s">
        <v>28</v>
      </c>
      <c r="G480">
        <v>7758</v>
      </c>
      <c r="H480">
        <v>3801</v>
      </c>
      <c r="I480">
        <v>68</v>
      </c>
      <c r="J480">
        <v>100</v>
      </c>
      <c r="K480">
        <v>775800</v>
      </c>
      <c r="L480">
        <v>108541</v>
      </c>
      <c r="M480">
        <v>667259</v>
      </c>
      <c r="N480">
        <v>380100</v>
      </c>
      <c r="O480">
        <v>287159</v>
      </c>
      <c r="P480">
        <v>43.04</v>
      </c>
      <c r="Q480">
        <v>5</v>
      </c>
      <c r="R480">
        <v>34910</v>
      </c>
      <c r="S480">
        <v>7.35</v>
      </c>
      <c r="T480">
        <v>24</v>
      </c>
      <c r="U480">
        <v>4.4000000000000004</v>
      </c>
      <c r="V480">
        <v>350889</v>
      </c>
      <c r="W480">
        <v>3068799</v>
      </c>
      <c r="X480">
        <v>8.75</v>
      </c>
      <c r="Y480" t="s">
        <v>39</v>
      </c>
    </row>
    <row r="481" spans="1:25" x14ac:dyDescent="0.3">
      <c r="A481" t="s">
        <v>997</v>
      </c>
      <c r="B481" t="s">
        <v>998</v>
      </c>
      <c r="C481" t="s">
        <v>940</v>
      </c>
      <c r="D481" s="1">
        <v>45572</v>
      </c>
      <c r="E481">
        <v>175</v>
      </c>
      <c r="F481" t="s">
        <v>28</v>
      </c>
      <c r="G481">
        <v>17824</v>
      </c>
      <c r="H481">
        <v>15994</v>
      </c>
      <c r="I481">
        <v>83</v>
      </c>
      <c r="J481">
        <v>130</v>
      </c>
      <c r="K481">
        <v>2317120</v>
      </c>
      <c r="L481">
        <v>301008</v>
      </c>
      <c r="M481">
        <v>2016112</v>
      </c>
      <c r="N481">
        <v>2079220</v>
      </c>
      <c r="O481">
        <v>-63108</v>
      </c>
      <c r="P481">
        <v>-3.13</v>
      </c>
      <c r="Q481">
        <v>1</v>
      </c>
      <c r="R481">
        <v>16041</v>
      </c>
      <c r="S481">
        <v>1.2</v>
      </c>
      <c r="T481">
        <v>35</v>
      </c>
      <c r="U481">
        <v>2.97</v>
      </c>
      <c r="V481">
        <v>547704</v>
      </c>
      <c r="W481">
        <v>9828425</v>
      </c>
      <c r="X481">
        <v>17.940000000000001</v>
      </c>
      <c r="Y481" t="s">
        <v>39</v>
      </c>
    </row>
    <row r="482" spans="1:25" x14ac:dyDescent="0.3">
      <c r="A482" t="s">
        <v>999</v>
      </c>
      <c r="B482" t="s">
        <v>1000</v>
      </c>
      <c r="C482" t="s">
        <v>940</v>
      </c>
      <c r="D482" s="1">
        <v>45640</v>
      </c>
      <c r="E482">
        <v>107</v>
      </c>
      <c r="F482" t="s">
        <v>28</v>
      </c>
      <c r="G482">
        <v>16775</v>
      </c>
      <c r="H482">
        <v>14296</v>
      </c>
      <c r="I482">
        <v>44</v>
      </c>
      <c r="J482">
        <v>71</v>
      </c>
      <c r="K482">
        <v>1191025</v>
      </c>
      <c r="L482">
        <v>102905</v>
      </c>
      <c r="M482">
        <v>1088120</v>
      </c>
      <c r="N482">
        <v>1015016</v>
      </c>
      <c r="O482">
        <v>73104</v>
      </c>
      <c r="P482">
        <v>6.72</v>
      </c>
      <c r="Q482">
        <v>0</v>
      </c>
      <c r="R482">
        <v>0</v>
      </c>
      <c r="S482">
        <v>0</v>
      </c>
      <c r="T482">
        <v>21</v>
      </c>
      <c r="U482">
        <v>3.17</v>
      </c>
      <c r="V482">
        <v>432519</v>
      </c>
      <c r="W482">
        <v>11679840</v>
      </c>
      <c r="X482">
        <v>27</v>
      </c>
      <c r="Y482" t="s">
        <v>39</v>
      </c>
    </row>
    <row r="483" spans="1:25" x14ac:dyDescent="0.3">
      <c r="A483" t="s">
        <v>1001</v>
      </c>
      <c r="B483" t="s">
        <v>1002</v>
      </c>
      <c r="C483" t="s">
        <v>940</v>
      </c>
      <c r="D483" s="1">
        <v>45060</v>
      </c>
      <c r="E483">
        <v>687</v>
      </c>
      <c r="F483" t="s">
        <v>28</v>
      </c>
      <c r="G483">
        <v>15830</v>
      </c>
      <c r="H483">
        <v>13133</v>
      </c>
      <c r="I483">
        <v>23</v>
      </c>
      <c r="J483">
        <v>33</v>
      </c>
      <c r="K483">
        <v>522390</v>
      </c>
      <c r="L483">
        <v>83401</v>
      </c>
      <c r="M483">
        <v>438989</v>
      </c>
      <c r="N483">
        <v>433389</v>
      </c>
      <c r="O483">
        <v>5600</v>
      </c>
      <c r="P483">
        <v>1.28</v>
      </c>
      <c r="Q483">
        <v>1</v>
      </c>
      <c r="R483">
        <v>14247</v>
      </c>
      <c r="S483">
        <v>4.3499999999999996</v>
      </c>
      <c r="T483">
        <v>11</v>
      </c>
      <c r="U483">
        <v>2.91</v>
      </c>
      <c r="V483">
        <v>787550</v>
      </c>
      <c r="W483">
        <v>13826891</v>
      </c>
      <c r="X483">
        <v>17.559999999999999</v>
      </c>
      <c r="Y483" t="s">
        <v>39</v>
      </c>
    </row>
    <row r="484" spans="1:25" x14ac:dyDescent="0.3">
      <c r="A484" t="s">
        <v>1003</v>
      </c>
      <c r="B484" t="s">
        <v>1004</v>
      </c>
      <c r="C484" t="s">
        <v>940</v>
      </c>
      <c r="D484" s="1">
        <v>45649</v>
      </c>
      <c r="E484">
        <v>98</v>
      </c>
      <c r="F484" t="s">
        <v>28</v>
      </c>
      <c r="G484">
        <v>10065</v>
      </c>
      <c r="H484">
        <v>5990</v>
      </c>
      <c r="I484">
        <v>103</v>
      </c>
      <c r="J484">
        <v>159</v>
      </c>
      <c r="K484">
        <v>1600335</v>
      </c>
      <c r="L484">
        <v>121929</v>
      </c>
      <c r="M484">
        <v>1478406</v>
      </c>
      <c r="N484">
        <v>952410</v>
      </c>
      <c r="O484">
        <v>525996</v>
      </c>
      <c r="P484">
        <v>35.58</v>
      </c>
      <c r="Q484">
        <v>10</v>
      </c>
      <c r="R484">
        <v>90580</v>
      </c>
      <c r="S484">
        <v>9.7100000000000009</v>
      </c>
      <c r="T484">
        <v>49</v>
      </c>
      <c r="U484">
        <v>4.2</v>
      </c>
      <c r="V484">
        <v>714230</v>
      </c>
      <c r="W484">
        <v>7557972</v>
      </c>
      <c r="X484">
        <v>10.58</v>
      </c>
      <c r="Y484" t="s">
        <v>39</v>
      </c>
    </row>
    <row r="485" spans="1:25" x14ac:dyDescent="0.3">
      <c r="A485" t="s">
        <v>1005</v>
      </c>
      <c r="B485" t="s">
        <v>1006</v>
      </c>
      <c r="C485" t="s">
        <v>940</v>
      </c>
      <c r="D485" s="1">
        <v>44840</v>
      </c>
      <c r="E485">
        <v>907</v>
      </c>
      <c r="F485" t="s">
        <v>28</v>
      </c>
      <c r="G485">
        <v>4931</v>
      </c>
      <c r="H485">
        <v>4164</v>
      </c>
      <c r="I485">
        <v>95</v>
      </c>
      <c r="J485">
        <v>148</v>
      </c>
      <c r="K485">
        <v>729788</v>
      </c>
      <c r="L485">
        <v>126147</v>
      </c>
      <c r="M485">
        <v>603641</v>
      </c>
      <c r="N485">
        <v>616272</v>
      </c>
      <c r="O485">
        <v>-12631</v>
      </c>
      <c r="P485">
        <v>-2.09</v>
      </c>
      <c r="Q485">
        <v>2</v>
      </c>
      <c r="R485">
        <v>8874</v>
      </c>
      <c r="S485">
        <v>2.11</v>
      </c>
      <c r="T485">
        <v>45</v>
      </c>
      <c r="U485">
        <v>3.03</v>
      </c>
      <c r="V485">
        <v>611669</v>
      </c>
      <c r="W485">
        <v>3526306</v>
      </c>
      <c r="X485">
        <v>5.77</v>
      </c>
      <c r="Y485" t="s">
        <v>39</v>
      </c>
    </row>
    <row r="486" spans="1:25" x14ac:dyDescent="0.3">
      <c r="A486" t="s">
        <v>1007</v>
      </c>
      <c r="B486" t="s">
        <v>1008</v>
      </c>
      <c r="C486" t="s">
        <v>940</v>
      </c>
      <c r="D486" s="1">
        <v>45496</v>
      </c>
      <c r="E486">
        <v>251</v>
      </c>
      <c r="F486" t="s">
        <v>28</v>
      </c>
      <c r="G486">
        <v>7237</v>
      </c>
      <c r="H486">
        <v>5169</v>
      </c>
      <c r="I486">
        <v>37</v>
      </c>
      <c r="J486">
        <v>57</v>
      </c>
      <c r="K486">
        <v>412509</v>
      </c>
      <c r="L486">
        <v>60781</v>
      </c>
      <c r="M486">
        <v>351728</v>
      </c>
      <c r="N486">
        <v>294633</v>
      </c>
      <c r="O486">
        <v>57095</v>
      </c>
      <c r="P486">
        <v>16.23</v>
      </c>
      <c r="Q486">
        <v>1</v>
      </c>
      <c r="R486">
        <v>6513</v>
      </c>
      <c r="S486">
        <v>2.7</v>
      </c>
      <c r="T486">
        <v>9</v>
      </c>
      <c r="U486">
        <v>3.67</v>
      </c>
      <c r="V486">
        <v>667781</v>
      </c>
      <c r="W486">
        <v>4150642</v>
      </c>
      <c r="X486">
        <v>6.22</v>
      </c>
      <c r="Y486" t="s">
        <v>39</v>
      </c>
    </row>
    <row r="487" spans="1:25" x14ac:dyDescent="0.3">
      <c r="A487" t="s">
        <v>1009</v>
      </c>
      <c r="B487" t="s">
        <v>1010</v>
      </c>
      <c r="C487" t="s">
        <v>940</v>
      </c>
      <c r="D487" s="1">
        <v>45653</v>
      </c>
      <c r="E487">
        <v>94</v>
      </c>
      <c r="F487" t="s">
        <v>28</v>
      </c>
      <c r="G487">
        <v>4054</v>
      </c>
      <c r="H487">
        <v>3317</v>
      </c>
      <c r="I487">
        <v>172</v>
      </c>
      <c r="J487">
        <v>249</v>
      </c>
      <c r="K487">
        <v>1009446</v>
      </c>
      <c r="L487">
        <v>183331</v>
      </c>
      <c r="M487">
        <v>826115</v>
      </c>
      <c r="N487">
        <v>825933</v>
      </c>
      <c r="O487">
        <v>182</v>
      </c>
      <c r="P487">
        <v>0.02</v>
      </c>
      <c r="Q487">
        <v>10</v>
      </c>
      <c r="R487">
        <v>36480</v>
      </c>
      <c r="S487">
        <v>5.81</v>
      </c>
      <c r="T487">
        <v>67</v>
      </c>
      <c r="U487">
        <v>3.3</v>
      </c>
      <c r="V487">
        <v>229182</v>
      </c>
      <c r="W487">
        <v>1595030</v>
      </c>
      <c r="X487">
        <v>6.96</v>
      </c>
      <c r="Y487" t="s">
        <v>39</v>
      </c>
    </row>
    <row r="488" spans="1:25" x14ac:dyDescent="0.3">
      <c r="A488" t="s">
        <v>1011</v>
      </c>
      <c r="B488" t="s">
        <v>1012</v>
      </c>
      <c r="C488" t="s">
        <v>940</v>
      </c>
      <c r="D488" s="1">
        <v>44903</v>
      </c>
      <c r="E488">
        <v>844</v>
      </c>
      <c r="F488" t="s">
        <v>28</v>
      </c>
      <c r="G488">
        <v>2695</v>
      </c>
      <c r="H488">
        <v>2073</v>
      </c>
      <c r="I488">
        <v>107</v>
      </c>
      <c r="J488">
        <v>155</v>
      </c>
      <c r="K488">
        <v>417725</v>
      </c>
      <c r="L488">
        <v>69560</v>
      </c>
      <c r="M488">
        <v>348165</v>
      </c>
      <c r="N488">
        <v>321315</v>
      </c>
      <c r="O488">
        <v>26850</v>
      </c>
      <c r="P488">
        <v>7.71</v>
      </c>
      <c r="Q488">
        <v>1</v>
      </c>
      <c r="R488">
        <v>2425</v>
      </c>
      <c r="S488">
        <v>0.93</v>
      </c>
      <c r="T488">
        <v>39</v>
      </c>
      <c r="U488">
        <v>3.35</v>
      </c>
      <c r="V488">
        <v>20394</v>
      </c>
      <c r="W488">
        <v>266266</v>
      </c>
      <c r="X488">
        <v>13.06</v>
      </c>
      <c r="Y488" t="s">
        <v>39</v>
      </c>
    </row>
    <row r="489" spans="1:25" x14ac:dyDescent="0.3">
      <c r="A489" t="s">
        <v>1013</v>
      </c>
      <c r="B489" t="s">
        <v>1014</v>
      </c>
      <c r="C489" t="s">
        <v>940</v>
      </c>
      <c r="D489" s="1">
        <v>44906</v>
      </c>
      <c r="E489">
        <v>841</v>
      </c>
      <c r="F489" t="s">
        <v>28</v>
      </c>
      <c r="G489">
        <v>3577</v>
      </c>
      <c r="H489">
        <v>2760</v>
      </c>
      <c r="I489">
        <v>89</v>
      </c>
      <c r="J489">
        <v>133</v>
      </c>
      <c r="K489">
        <v>475741</v>
      </c>
      <c r="L489">
        <v>61960</v>
      </c>
      <c r="M489">
        <v>413781</v>
      </c>
      <c r="N489">
        <v>367080</v>
      </c>
      <c r="O489">
        <v>46701</v>
      </c>
      <c r="P489">
        <v>11.29</v>
      </c>
      <c r="Q489">
        <v>1</v>
      </c>
      <c r="R489">
        <v>3219</v>
      </c>
      <c r="S489">
        <v>1.1200000000000001</v>
      </c>
      <c r="T489">
        <v>33</v>
      </c>
      <c r="U489">
        <v>3.23</v>
      </c>
      <c r="V489">
        <v>538725</v>
      </c>
      <c r="W489">
        <v>2416420</v>
      </c>
      <c r="X489">
        <v>4.49</v>
      </c>
      <c r="Y489" t="s">
        <v>39</v>
      </c>
    </row>
    <row r="490" spans="1:25" x14ac:dyDescent="0.3">
      <c r="A490" t="s">
        <v>1015</v>
      </c>
      <c r="B490" t="s">
        <v>1016</v>
      </c>
      <c r="C490" t="s">
        <v>940</v>
      </c>
      <c r="D490" s="1">
        <v>45208</v>
      </c>
      <c r="E490">
        <v>539</v>
      </c>
      <c r="F490" t="s">
        <v>28</v>
      </c>
      <c r="G490">
        <v>5292</v>
      </c>
      <c r="H490">
        <v>3415</v>
      </c>
      <c r="I490">
        <v>84</v>
      </c>
      <c r="J490">
        <v>127</v>
      </c>
      <c r="K490">
        <v>672084</v>
      </c>
      <c r="L490">
        <v>120000</v>
      </c>
      <c r="M490">
        <v>552084</v>
      </c>
      <c r="N490">
        <v>433705</v>
      </c>
      <c r="O490">
        <v>118379</v>
      </c>
      <c r="P490">
        <v>21.44</v>
      </c>
      <c r="Q490">
        <v>2</v>
      </c>
      <c r="R490">
        <v>9524</v>
      </c>
      <c r="S490">
        <v>2.38</v>
      </c>
      <c r="T490">
        <v>36</v>
      </c>
      <c r="U490">
        <v>3.92</v>
      </c>
      <c r="V490">
        <v>469259</v>
      </c>
      <c r="W490">
        <v>3903172</v>
      </c>
      <c r="X490">
        <v>8.32</v>
      </c>
      <c r="Y490" t="s">
        <v>39</v>
      </c>
    </row>
    <row r="491" spans="1:25" x14ac:dyDescent="0.3">
      <c r="A491" t="s">
        <v>1017</v>
      </c>
      <c r="B491" t="s">
        <v>1018</v>
      </c>
      <c r="C491" t="s">
        <v>940</v>
      </c>
      <c r="D491" s="1">
        <v>45203</v>
      </c>
      <c r="E491">
        <v>544</v>
      </c>
      <c r="F491" t="s">
        <v>28</v>
      </c>
      <c r="G491">
        <v>14589</v>
      </c>
      <c r="H491">
        <v>11313</v>
      </c>
      <c r="I491">
        <v>87</v>
      </c>
      <c r="J491">
        <v>124</v>
      </c>
      <c r="K491">
        <v>1809036</v>
      </c>
      <c r="L491">
        <v>306574</v>
      </c>
      <c r="M491">
        <v>1502462</v>
      </c>
      <c r="N491">
        <v>1402812</v>
      </c>
      <c r="O491">
        <v>99650</v>
      </c>
      <c r="P491">
        <v>6.63</v>
      </c>
      <c r="Q491">
        <v>3</v>
      </c>
      <c r="R491">
        <v>39390</v>
      </c>
      <c r="S491">
        <v>3.45</v>
      </c>
      <c r="T491">
        <v>34</v>
      </c>
      <c r="U491">
        <v>3.37</v>
      </c>
      <c r="V491">
        <v>192923</v>
      </c>
      <c r="W491">
        <v>2145013</v>
      </c>
      <c r="X491">
        <v>11.12</v>
      </c>
      <c r="Y491" t="s">
        <v>39</v>
      </c>
    </row>
    <row r="492" spans="1:25" x14ac:dyDescent="0.3">
      <c r="A492" t="s">
        <v>1019</v>
      </c>
      <c r="B492" t="s">
        <v>1020</v>
      </c>
      <c r="C492" t="s">
        <v>940</v>
      </c>
      <c r="D492" s="1">
        <v>45014</v>
      </c>
      <c r="E492">
        <v>733</v>
      </c>
      <c r="F492" t="s">
        <v>28</v>
      </c>
      <c r="G492">
        <v>16256</v>
      </c>
      <c r="H492">
        <v>10594</v>
      </c>
      <c r="I492">
        <v>39</v>
      </c>
      <c r="J492">
        <v>59</v>
      </c>
      <c r="K492">
        <v>959104</v>
      </c>
      <c r="L492">
        <v>170973</v>
      </c>
      <c r="M492">
        <v>788131</v>
      </c>
      <c r="N492">
        <v>625046</v>
      </c>
      <c r="O492">
        <v>163085</v>
      </c>
      <c r="P492">
        <v>20.69</v>
      </c>
      <c r="Q492">
        <v>1</v>
      </c>
      <c r="R492">
        <v>14630</v>
      </c>
      <c r="S492">
        <v>2.56</v>
      </c>
      <c r="T492">
        <v>16</v>
      </c>
      <c r="U492">
        <v>4.03</v>
      </c>
      <c r="V492">
        <v>488212</v>
      </c>
      <c r="W492">
        <v>11431552</v>
      </c>
      <c r="X492">
        <v>23.42</v>
      </c>
      <c r="Y492" t="s">
        <v>29</v>
      </c>
    </row>
    <row r="493" spans="1:25" x14ac:dyDescent="0.3">
      <c r="A493" t="s">
        <v>1021</v>
      </c>
      <c r="B493" t="s">
        <v>1022</v>
      </c>
      <c r="C493" t="s">
        <v>940</v>
      </c>
      <c r="D493" s="1">
        <v>45476</v>
      </c>
      <c r="E493">
        <v>271</v>
      </c>
      <c r="F493" t="s">
        <v>28</v>
      </c>
      <c r="G493">
        <v>8924</v>
      </c>
      <c r="H493">
        <v>5085</v>
      </c>
      <c r="I493">
        <v>54</v>
      </c>
      <c r="J493">
        <v>84</v>
      </c>
      <c r="K493">
        <v>749616</v>
      </c>
      <c r="L493">
        <v>64525</v>
      </c>
      <c r="M493">
        <v>685091</v>
      </c>
      <c r="N493">
        <v>427140</v>
      </c>
      <c r="O493">
        <v>257951</v>
      </c>
      <c r="P493">
        <v>37.65</v>
      </c>
      <c r="Q493">
        <v>3</v>
      </c>
      <c r="R493">
        <v>24093</v>
      </c>
      <c r="S493">
        <v>5.56</v>
      </c>
      <c r="T493">
        <v>18</v>
      </c>
      <c r="U493">
        <v>4.22</v>
      </c>
      <c r="V493">
        <v>379911</v>
      </c>
      <c r="W493">
        <v>4609740</v>
      </c>
      <c r="X493">
        <v>12.13</v>
      </c>
      <c r="Y493" t="s">
        <v>39</v>
      </c>
    </row>
    <row r="494" spans="1:25" x14ac:dyDescent="0.3">
      <c r="A494" t="s">
        <v>1023</v>
      </c>
      <c r="B494" t="s">
        <v>1024</v>
      </c>
      <c r="C494" t="s">
        <v>940</v>
      </c>
      <c r="D494" s="1">
        <v>45399</v>
      </c>
      <c r="E494">
        <v>348</v>
      </c>
      <c r="F494" t="s">
        <v>28</v>
      </c>
      <c r="G494">
        <v>7270</v>
      </c>
      <c r="H494">
        <v>3578</v>
      </c>
      <c r="I494">
        <v>79</v>
      </c>
      <c r="J494">
        <v>121</v>
      </c>
      <c r="K494">
        <v>879670</v>
      </c>
      <c r="L494">
        <v>144207</v>
      </c>
      <c r="M494">
        <v>735463</v>
      </c>
      <c r="N494">
        <v>432938</v>
      </c>
      <c r="O494">
        <v>302525</v>
      </c>
      <c r="P494">
        <v>41.13</v>
      </c>
      <c r="Q494">
        <v>7</v>
      </c>
      <c r="R494">
        <v>45801</v>
      </c>
      <c r="S494">
        <v>8.86</v>
      </c>
      <c r="T494">
        <v>39</v>
      </c>
      <c r="U494">
        <v>4.28</v>
      </c>
      <c r="V494">
        <v>275154</v>
      </c>
      <c r="W494">
        <v>2621398</v>
      </c>
      <c r="X494">
        <v>9.5299999999999994</v>
      </c>
      <c r="Y494" t="s">
        <v>39</v>
      </c>
    </row>
    <row r="495" spans="1:25" x14ac:dyDescent="0.3">
      <c r="A495" t="s">
        <v>1025</v>
      </c>
      <c r="B495" t="s">
        <v>1026</v>
      </c>
      <c r="C495" t="s">
        <v>940</v>
      </c>
      <c r="D495" s="1">
        <v>45625</v>
      </c>
      <c r="E495">
        <v>122</v>
      </c>
      <c r="F495" t="s">
        <v>28</v>
      </c>
      <c r="G495">
        <v>13160</v>
      </c>
      <c r="H495">
        <v>10521</v>
      </c>
      <c r="I495">
        <v>71</v>
      </c>
      <c r="J495">
        <v>101</v>
      </c>
      <c r="K495">
        <v>1329160</v>
      </c>
      <c r="L495">
        <v>197347</v>
      </c>
      <c r="M495">
        <v>1131813</v>
      </c>
      <c r="N495">
        <v>1062621</v>
      </c>
      <c r="O495">
        <v>69192</v>
      </c>
      <c r="P495">
        <v>6.11</v>
      </c>
      <c r="Q495">
        <v>4</v>
      </c>
      <c r="R495">
        <v>47376</v>
      </c>
      <c r="S495">
        <v>5.63</v>
      </c>
      <c r="T495">
        <v>27</v>
      </c>
      <c r="U495">
        <v>3.28</v>
      </c>
      <c r="V495">
        <v>361172</v>
      </c>
      <c r="W495">
        <v>5073858</v>
      </c>
      <c r="X495">
        <v>14.05</v>
      </c>
      <c r="Y495" t="s">
        <v>39</v>
      </c>
    </row>
    <row r="496" spans="1:25" x14ac:dyDescent="0.3">
      <c r="A496" t="s">
        <v>1027</v>
      </c>
      <c r="B496" t="s">
        <v>1028</v>
      </c>
      <c r="C496" t="s">
        <v>940</v>
      </c>
      <c r="D496" s="1">
        <v>45513</v>
      </c>
      <c r="E496">
        <v>234</v>
      </c>
      <c r="F496" t="s">
        <v>28</v>
      </c>
      <c r="G496">
        <v>12222</v>
      </c>
      <c r="H496">
        <v>8237</v>
      </c>
      <c r="I496">
        <v>33</v>
      </c>
      <c r="J496">
        <v>49</v>
      </c>
      <c r="K496">
        <v>598878</v>
      </c>
      <c r="L496">
        <v>95276</v>
      </c>
      <c r="M496">
        <v>503602</v>
      </c>
      <c r="N496">
        <v>403613</v>
      </c>
      <c r="O496">
        <v>99989</v>
      </c>
      <c r="P496">
        <v>19.850000000000001</v>
      </c>
      <c r="Q496">
        <v>1</v>
      </c>
      <c r="R496">
        <v>10999</v>
      </c>
      <c r="S496">
        <v>3.03</v>
      </c>
      <c r="T496">
        <v>6</v>
      </c>
      <c r="U496">
        <v>4.33</v>
      </c>
      <c r="V496">
        <v>233041</v>
      </c>
      <c r="W496">
        <v>3227008</v>
      </c>
      <c r="X496">
        <v>13.85</v>
      </c>
      <c r="Y496" t="s">
        <v>29</v>
      </c>
    </row>
    <row r="497" spans="1:25" x14ac:dyDescent="0.3">
      <c r="A497" t="s">
        <v>1029</v>
      </c>
      <c r="B497" t="s">
        <v>1030</v>
      </c>
      <c r="C497" t="s">
        <v>940</v>
      </c>
      <c r="D497" s="1">
        <v>45018</v>
      </c>
      <c r="E497">
        <v>729</v>
      </c>
      <c r="F497" t="s">
        <v>28</v>
      </c>
      <c r="G497">
        <v>4898</v>
      </c>
      <c r="H497">
        <v>3424</v>
      </c>
      <c r="I497">
        <v>89</v>
      </c>
      <c r="J497">
        <v>134</v>
      </c>
      <c r="K497">
        <v>656332</v>
      </c>
      <c r="L497">
        <v>90380</v>
      </c>
      <c r="M497">
        <v>565952</v>
      </c>
      <c r="N497">
        <v>458816</v>
      </c>
      <c r="O497">
        <v>107136</v>
      </c>
      <c r="P497">
        <v>18.93</v>
      </c>
      <c r="Q497">
        <v>3</v>
      </c>
      <c r="R497">
        <v>13224</v>
      </c>
      <c r="S497">
        <v>3.37</v>
      </c>
      <c r="T497">
        <v>41</v>
      </c>
      <c r="U497">
        <v>3.62</v>
      </c>
      <c r="V497">
        <v>414304</v>
      </c>
      <c r="W497">
        <v>2154141</v>
      </c>
      <c r="X497">
        <v>5.2</v>
      </c>
      <c r="Y497" t="s">
        <v>39</v>
      </c>
    </row>
    <row r="498" spans="1:25" x14ac:dyDescent="0.3">
      <c r="A498" t="s">
        <v>1031</v>
      </c>
      <c r="B498" t="s">
        <v>1032</v>
      </c>
      <c r="C498" t="s">
        <v>940</v>
      </c>
      <c r="D498" s="1">
        <v>45614</v>
      </c>
      <c r="E498">
        <v>133</v>
      </c>
      <c r="F498" t="s">
        <v>28</v>
      </c>
      <c r="G498">
        <v>12056</v>
      </c>
      <c r="H498">
        <v>10631</v>
      </c>
      <c r="I498">
        <v>81</v>
      </c>
      <c r="J498">
        <v>121</v>
      </c>
      <c r="K498">
        <v>1458776</v>
      </c>
      <c r="L498">
        <v>269687</v>
      </c>
      <c r="M498">
        <v>1189089</v>
      </c>
      <c r="N498">
        <v>1286351</v>
      </c>
      <c r="O498">
        <v>-97262</v>
      </c>
      <c r="P498">
        <v>-8.18</v>
      </c>
      <c r="Q498">
        <v>4</v>
      </c>
      <c r="R498">
        <v>43400</v>
      </c>
      <c r="S498">
        <v>4.9400000000000004</v>
      </c>
      <c r="T498">
        <v>29</v>
      </c>
      <c r="U498">
        <v>3</v>
      </c>
      <c r="V498">
        <v>533466</v>
      </c>
      <c r="W498">
        <v>7409721</v>
      </c>
      <c r="X498">
        <v>13.89</v>
      </c>
      <c r="Y498" t="s">
        <v>39</v>
      </c>
    </row>
    <row r="499" spans="1:25" x14ac:dyDescent="0.3">
      <c r="A499" t="s">
        <v>1033</v>
      </c>
      <c r="B499" t="s">
        <v>1034</v>
      </c>
      <c r="C499" t="s">
        <v>940</v>
      </c>
      <c r="D499" s="1">
        <v>45300</v>
      </c>
      <c r="E499">
        <v>447</v>
      </c>
      <c r="F499" t="s">
        <v>28</v>
      </c>
      <c r="G499">
        <v>12136</v>
      </c>
      <c r="H499">
        <v>8802</v>
      </c>
      <c r="I499">
        <v>89</v>
      </c>
      <c r="J499">
        <v>126</v>
      </c>
      <c r="K499">
        <v>1529136</v>
      </c>
      <c r="L499">
        <v>253039</v>
      </c>
      <c r="M499">
        <v>1276097</v>
      </c>
      <c r="N499">
        <v>1109052</v>
      </c>
      <c r="O499">
        <v>167045</v>
      </c>
      <c r="P499">
        <v>13.09</v>
      </c>
      <c r="Q499">
        <v>9</v>
      </c>
      <c r="R499">
        <v>98298</v>
      </c>
      <c r="S499">
        <v>10.11</v>
      </c>
      <c r="T499">
        <v>37</v>
      </c>
      <c r="U499">
        <v>3.51</v>
      </c>
      <c r="V499">
        <v>528276</v>
      </c>
      <c r="W499">
        <v>6794123</v>
      </c>
      <c r="X499">
        <v>12.86</v>
      </c>
      <c r="Y499" t="s">
        <v>39</v>
      </c>
    </row>
    <row r="500" spans="1:25" x14ac:dyDescent="0.3">
      <c r="A500" t="s">
        <v>1035</v>
      </c>
      <c r="B500" t="s">
        <v>1036</v>
      </c>
      <c r="C500" t="s">
        <v>940</v>
      </c>
      <c r="D500" s="1">
        <v>45104</v>
      </c>
      <c r="E500">
        <v>643</v>
      </c>
      <c r="F500" t="s">
        <v>28</v>
      </c>
      <c r="G500">
        <v>9260</v>
      </c>
      <c r="H500">
        <v>4855</v>
      </c>
      <c r="I500">
        <v>120</v>
      </c>
      <c r="J500">
        <v>183</v>
      </c>
      <c r="K500">
        <v>1694580</v>
      </c>
      <c r="L500">
        <v>177337</v>
      </c>
      <c r="M500">
        <v>1517243</v>
      </c>
      <c r="N500">
        <v>888465</v>
      </c>
      <c r="O500">
        <v>628778</v>
      </c>
      <c r="P500">
        <v>41.44</v>
      </c>
      <c r="Q500">
        <v>9</v>
      </c>
      <c r="R500">
        <v>75006</v>
      </c>
      <c r="S500">
        <v>7.5</v>
      </c>
      <c r="T500">
        <v>45</v>
      </c>
      <c r="U500">
        <v>4.33</v>
      </c>
      <c r="V500">
        <v>720182</v>
      </c>
      <c r="W500">
        <v>5567788</v>
      </c>
      <c r="X500">
        <v>7.73</v>
      </c>
      <c r="Y500" t="s">
        <v>39</v>
      </c>
    </row>
    <row r="501" spans="1:25" x14ac:dyDescent="0.3">
      <c r="A501" t="s">
        <v>1037</v>
      </c>
      <c r="B501" t="s">
        <v>1038</v>
      </c>
      <c r="C501" t="s">
        <v>940</v>
      </c>
      <c r="D501" s="1">
        <v>45063</v>
      </c>
      <c r="E501">
        <v>684</v>
      </c>
      <c r="F501" t="s">
        <v>28</v>
      </c>
      <c r="G501">
        <v>17229</v>
      </c>
      <c r="H501">
        <v>13555</v>
      </c>
      <c r="I501">
        <v>58</v>
      </c>
      <c r="J501">
        <v>83</v>
      </c>
      <c r="K501">
        <v>1430007</v>
      </c>
      <c r="L501">
        <v>282173</v>
      </c>
      <c r="M501">
        <v>1147834</v>
      </c>
      <c r="N501">
        <v>1125065</v>
      </c>
      <c r="O501">
        <v>22769</v>
      </c>
      <c r="P501">
        <v>1.98</v>
      </c>
      <c r="Q501">
        <v>1</v>
      </c>
      <c r="R501">
        <v>15506</v>
      </c>
      <c r="S501">
        <v>1.72</v>
      </c>
      <c r="T501">
        <v>30</v>
      </c>
      <c r="U501">
        <v>3.47</v>
      </c>
      <c r="V501">
        <v>38966</v>
      </c>
      <c r="W501">
        <v>2950202</v>
      </c>
      <c r="X501">
        <v>75.709999999999994</v>
      </c>
      <c r="Y501" t="s">
        <v>39</v>
      </c>
    </row>
  </sheetData>
  <phoneticPr fontId="1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E9525-2290-4C7B-8523-352A219784CC}">
  <dimension ref="A1:Y504"/>
  <sheetViews>
    <sheetView zoomScale="76" workbookViewId="0">
      <selection activeCell="AB12" sqref="AB12"/>
    </sheetView>
  </sheetViews>
  <sheetFormatPr defaultRowHeight="14.4" x14ac:dyDescent="0.3"/>
  <cols>
    <col min="1" max="1" width="11.21875" customWidth="1"/>
    <col min="2" max="2" width="12.44140625" customWidth="1"/>
    <col min="4" max="4" width="11.109375" customWidth="1"/>
    <col min="5" max="5" width="17.33203125" customWidth="1"/>
    <col min="6" max="6" width="13.5546875" bestFit="1" customWidth="1"/>
    <col min="7" max="7" width="10.6640625" bestFit="1" customWidth="1"/>
    <col min="8" max="8" width="9" bestFit="1" customWidth="1"/>
    <col min="9" max="9" width="11.21875" bestFit="1" customWidth="1"/>
    <col min="10" max="10" width="14" bestFit="1" customWidth="1"/>
    <col min="11" max="11" width="10.33203125" bestFit="1" customWidth="1"/>
    <col min="12" max="12" width="15.21875" bestFit="1" customWidth="1"/>
    <col min="13" max="14" width="10.21875" bestFit="1" customWidth="1"/>
    <col min="15" max="15" width="10.6640625" bestFit="1" customWidth="1"/>
    <col min="16" max="16" width="16.44140625" bestFit="1" customWidth="1"/>
    <col min="17" max="17" width="14.5546875" bestFit="1" customWidth="1"/>
    <col min="18" max="18" width="18.6640625" bestFit="1" customWidth="1"/>
    <col min="19" max="19" width="12.6640625" bestFit="1" customWidth="1"/>
    <col min="20" max="20" width="12.44140625" bestFit="1" customWidth="1"/>
    <col min="21" max="21" width="13.33203125" bestFit="1" customWidth="1"/>
    <col min="22" max="22" width="14.5546875" bestFit="1" customWidth="1"/>
    <col min="23" max="23" width="16.88671875" bestFit="1" customWidth="1"/>
    <col min="24" max="24" width="6.109375" bestFit="1" customWidth="1"/>
    <col min="25" max="25" width="16.109375" bestFit="1" customWidth="1"/>
  </cols>
  <sheetData>
    <row r="1" spans="1:25" ht="27.6" thickBot="1" x14ac:dyDescent="0.35">
      <c r="A1" s="3" t="s">
        <v>1039</v>
      </c>
      <c r="B1" s="3" t="s">
        <v>1040</v>
      </c>
      <c r="C1" s="3" t="s">
        <v>1041</v>
      </c>
      <c r="D1" s="4" t="s">
        <v>1042</v>
      </c>
      <c r="E1" s="5" t="s">
        <v>1043</v>
      </c>
      <c r="F1" s="6" t="s">
        <v>1044</v>
      </c>
      <c r="G1" s="7" t="s">
        <v>1045</v>
      </c>
      <c r="H1" s="7" t="s">
        <v>1046</v>
      </c>
      <c r="I1" s="8" t="s">
        <v>1047</v>
      </c>
      <c r="J1" s="8" t="s">
        <v>1048</v>
      </c>
      <c r="K1" s="7" t="s">
        <v>1049</v>
      </c>
      <c r="L1" s="7" t="s">
        <v>1050</v>
      </c>
      <c r="M1" s="7" t="s">
        <v>1051</v>
      </c>
      <c r="N1" s="7" t="s">
        <v>1052</v>
      </c>
      <c r="O1" s="7" t="s">
        <v>1053</v>
      </c>
      <c r="P1" s="9" t="s">
        <v>1054</v>
      </c>
      <c r="Q1" s="8" t="s">
        <v>1055</v>
      </c>
      <c r="R1" s="7" t="s">
        <v>1056</v>
      </c>
      <c r="S1" s="9" t="s">
        <v>1057</v>
      </c>
      <c r="T1" s="8" t="s">
        <v>1058</v>
      </c>
      <c r="U1" s="10" t="s">
        <v>1059</v>
      </c>
      <c r="V1" s="7" t="s">
        <v>1060</v>
      </c>
      <c r="W1" s="7" t="s">
        <v>1061</v>
      </c>
      <c r="X1" s="11" t="s">
        <v>1062</v>
      </c>
      <c r="Y1" s="6" t="s">
        <v>1063</v>
      </c>
    </row>
    <row r="2" spans="1:25" x14ac:dyDescent="0.3">
      <c r="A2" t="s">
        <v>25</v>
      </c>
      <c r="B2" t="s">
        <v>26</v>
      </c>
      <c r="C2" t="s">
        <v>27</v>
      </c>
      <c r="D2" s="1">
        <v>45017</v>
      </c>
      <c r="E2">
        <v>730</v>
      </c>
      <c r="F2" t="s">
        <v>28</v>
      </c>
      <c r="G2">
        <v>4999</v>
      </c>
      <c r="H2">
        <v>2749</v>
      </c>
      <c r="I2">
        <v>35000</v>
      </c>
      <c r="J2">
        <v>52562</v>
      </c>
      <c r="K2">
        <v>262757438</v>
      </c>
      <c r="L2">
        <v>19703806</v>
      </c>
      <c r="M2">
        <v>243053632</v>
      </c>
      <c r="N2">
        <f>J2*H2</f>
        <v>144492938</v>
      </c>
      <c r="O2">
        <f>M2-N2</f>
        <v>98560694</v>
      </c>
      <c r="P2">
        <f>IF(M2&gt;0, (M2-N2)/M2, 0)</f>
        <v>0.40551006454410854</v>
      </c>
      <c r="Q2">
        <v>715</v>
      </c>
      <c r="R2">
        <v>3216785</v>
      </c>
      <c r="S2">
        <f>IF(I2&gt;0, Q2/I2, 0)</f>
        <v>2.0428571428571428E-2</v>
      </c>
      <c r="T2">
        <v>13949</v>
      </c>
      <c r="U2">
        <v>4.66</v>
      </c>
      <c r="V2">
        <v>799992</v>
      </c>
      <c r="W2">
        <v>7587293</v>
      </c>
      <c r="X2">
        <f>IF(V2&gt;0, W2/V2, 0)</f>
        <v>9.4842110921109217</v>
      </c>
      <c r="Y2" t="str">
        <f>IF(E2&lt;=90, "Immature Product", IF(AND(O2&gt;0, U2&gt;=4, S2&lt;0.05), "Star", IF(AND(M2&gt;10000000, O2&lt;0), "Revenue Trap", IF(AND(O2&gt;0, U2&gt;=4, V2&lt;100000), "Hidden Opportunity", "Weak Product"))))</f>
        <v>Star</v>
      </c>
    </row>
    <row r="3" spans="1:25" x14ac:dyDescent="0.3">
      <c r="A3" t="s">
        <v>30</v>
      </c>
      <c r="B3" t="s">
        <v>31</v>
      </c>
      <c r="C3" t="s">
        <v>32</v>
      </c>
      <c r="D3" s="1">
        <v>45078</v>
      </c>
      <c r="E3">
        <v>669</v>
      </c>
      <c r="F3" t="s">
        <v>28</v>
      </c>
      <c r="G3">
        <v>1499</v>
      </c>
      <c r="H3">
        <v>1380</v>
      </c>
      <c r="I3">
        <v>85000</v>
      </c>
      <c r="J3">
        <v>127598</v>
      </c>
      <c r="K3">
        <v>191269402</v>
      </c>
      <c r="L3">
        <v>66880664</v>
      </c>
      <c r="M3">
        <v>124388738</v>
      </c>
      <c r="N3">
        <f t="shared" ref="N3:N66" si="0">J3*H3</f>
        <v>176085240</v>
      </c>
      <c r="O3">
        <f t="shared" ref="O3:O66" si="1">M3-N3</f>
        <v>-51696502</v>
      </c>
      <c r="P3">
        <f t="shared" ref="P3:P66" si="2">IF(M3&gt;0, (M3-N3)/M3, 0)</f>
        <v>-0.41560436122440603</v>
      </c>
      <c r="Q3">
        <v>15401</v>
      </c>
      <c r="R3">
        <v>20775949</v>
      </c>
      <c r="S3">
        <f t="shared" ref="S3:S66" si="3">IF(I3&gt;0, Q3/I3, 0)</f>
        <v>0.18118823529411765</v>
      </c>
      <c r="T3">
        <v>33757</v>
      </c>
      <c r="U3">
        <v>3.2</v>
      </c>
      <c r="V3">
        <v>2499992</v>
      </c>
      <c r="W3">
        <v>3821487</v>
      </c>
      <c r="X3">
        <f t="shared" ref="X3:X66" si="4">IF(V3&gt;0, W3/V3, 0)</f>
        <v>1.5285996915190128</v>
      </c>
      <c r="Y3" t="str">
        <f t="shared" ref="Y3:Y66" si="5">IF(E3&lt;=90, "Immature Product", IF(AND(O3&gt;0, U3&gt;=4, S3&lt;0.05), "Star", IF(AND(M3&gt;10000000, O3&lt;0), "Revenue Trap", IF(AND(O3&gt;0, U3&gt;=4, V3&lt;100000), "Hidden Opportunity", "Weak Product"))))</f>
        <v>Revenue Trap</v>
      </c>
    </row>
    <row r="4" spans="1:25" x14ac:dyDescent="0.3">
      <c r="A4" t="s">
        <v>34</v>
      </c>
      <c r="B4" t="s">
        <v>35</v>
      </c>
      <c r="C4" t="s">
        <v>36</v>
      </c>
      <c r="D4" s="1">
        <v>45139</v>
      </c>
      <c r="E4">
        <v>608</v>
      </c>
      <c r="F4" t="s">
        <v>28</v>
      </c>
      <c r="G4">
        <v>2499</v>
      </c>
      <c r="H4">
        <v>1199</v>
      </c>
      <c r="I4">
        <v>7000</v>
      </c>
      <c r="J4">
        <v>10540</v>
      </c>
      <c r="K4">
        <v>26339460</v>
      </c>
      <c r="L4">
        <v>1319021</v>
      </c>
      <c r="M4">
        <v>25020439</v>
      </c>
      <c r="N4">
        <f t="shared" si="0"/>
        <v>12637460</v>
      </c>
      <c r="O4">
        <f t="shared" si="1"/>
        <v>12382979</v>
      </c>
      <c r="P4">
        <f t="shared" si="2"/>
        <v>0.49491453767058202</v>
      </c>
      <c r="Q4">
        <v>212</v>
      </c>
      <c r="R4">
        <v>476788</v>
      </c>
      <c r="S4">
        <f t="shared" si="3"/>
        <v>3.0285714285714287E-2</v>
      </c>
      <c r="T4">
        <v>2846</v>
      </c>
      <c r="U4">
        <v>4.5599999999999996</v>
      </c>
      <c r="V4">
        <v>40000</v>
      </c>
      <c r="W4">
        <v>169845</v>
      </c>
      <c r="X4">
        <f t="shared" si="4"/>
        <v>4.2461250000000001</v>
      </c>
      <c r="Y4" t="str">
        <f t="shared" si="5"/>
        <v>Star</v>
      </c>
    </row>
    <row r="5" spans="1:25" x14ac:dyDescent="0.3">
      <c r="A5" t="s">
        <v>37</v>
      </c>
      <c r="B5" t="s">
        <v>38</v>
      </c>
      <c r="C5" t="s">
        <v>32</v>
      </c>
      <c r="D5" s="1">
        <v>45108</v>
      </c>
      <c r="E5">
        <v>639</v>
      </c>
      <c r="F5" t="s">
        <v>28</v>
      </c>
      <c r="G5">
        <v>799</v>
      </c>
      <c r="H5">
        <v>739</v>
      </c>
      <c r="I5">
        <v>4000</v>
      </c>
      <c r="J5">
        <v>5930</v>
      </c>
      <c r="K5">
        <v>4738070</v>
      </c>
      <c r="L5">
        <v>610530</v>
      </c>
      <c r="M5">
        <v>4127540</v>
      </c>
      <c r="N5">
        <f t="shared" si="0"/>
        <v>4382270</v>
      </c>
      <c r="O5">
        <f t="shared" si="1"/>
        <v>-254730</v>
      </c>
      <c r="P5">
        <f t="shared" si="2"/>
        <v>-6.1714725962679948E-2</v>
      </c>
      <c r="Q5">
        <v>899</v>
      </c>
      <c r="R5">
        <v>646381</v>
      </c>
      <c r="S5">
        <f t="shared" si="3"/>
        <v>0.22475000000000001</v>
      </c>
      <c r="T5">
        <v>1629</v>
      </c>
      <c r="U5">
        <v>2.8</v>
      </c>
      <c r="V5">
        <v>350000</v>
      </c>
      <c r="W5">
        <v>183914</v>
      </c>
      <c r="X5">
        <f t="shared" si="4"/>
        <v>0.5254685714285714</v>
      </c>
      <c r="Y5" t="str">
        <f t="shared" si="5"/>
        <v>Weak Product</v>
      </c>
    </row>
    <row r="6" spans="1:25" x14ac:dyDescent="0.3">
      <c r="A6" t="s">
        <v>40</v>
      </c>
      <c r="B6" t="s">
        <v>41</v>
      </c>
      <c r="C6" t="s">
        <v>42</v>
      </c>
      <c r="D6" s="1">
        <v>45698</v>
      </c>
      <c r="E6">
        <v>49</v>
      </c>
      <c r="F6" t="s">
        <v>43</v>
      </c>
      <c r="G6">
        <v>7999</v>
      </c>
      <c r="H6">
        <v>4200</v>
      </c>
      <c r="I6">
        <v>150</v>
      </c>
      <c r="J6">
        <v>229</v>
      </c>
      <c r="K6">
        <v>1831771</v>
      </c>
      <c r="L6">
        <v>48826</v>
      </c>
      <c r="M6">
        <v>1782945</v>
      </c>
      <c r="N6">
        <f t="shared" si="0"/>
        <v>961800</v>
      </c>
      <c r="O6">
        <f t="shared" si="1"/>
        <v>821145</v>
      </c>
      <c r="P6">
        <f t="shared" si="2"/>
        <v>0.46055542935985128</v>
      </c>
      <c r="Q6">
        <v>5</v>
      </c>
      <c r="R6">
        <v>35995</v>
      </c>
      <c r="S6">
        <f t="shared" si="3"/>
        <v>3.3333333333333333E-2</v>
      </c>
      <c r="T6">
        <v>50</v>
      </c>
      <c r="U6">
        <v>4.26</v>
      </c>
      <c r="V6">
        <v>60000</v>
      </c>
      <c r="W6">
        <v>316098</v>
      </c>
      <c r="X6">
        <f t="shared" si="4"/>
        <v>5.2683</v>
      </c>
      <c r="Y6" t="str">
        <f t="shared" si="5"/>
        <v>Immature Product</v>
      </c>
    </row>
    <row r="7" spans="1:25" x14ac:dyDescent="0.3">
      <c r="A7" t="s">
        <v>45</v>
      </c>
      <c r="B7" t="s">
        <v>46</v>
      </c>
      <c r="C7" t="s">
        <v>27</v>
      </c>
      <c r="D7" s="1">
        <v>45116</v>
      </c>
      <c r="E7">
        <v>631</v>
      </c>
      <c r="F7" t="s">
        <v>28</v>
      </c>
      <c r="G7">
        <v>3947</v>
      </c>
      <c r="H7">
        <v>3507</v>
      </c>
      <c r="I7">
        <v>183</v>
      </c>
      <c r="J7">
        <v>266</v>
      </c>
      <c r="K7">
        <v>1049902</v>
      </c>
      <c r="L7">
        <v>138052</v>
      </c>
      <c r="M7">
        <v>911850</v>
      </c>
      <c r="N7">
        <f t="shared" si="0"/>
        <v>932862</v>
      </c>
      <c r="O7">
        <f t="shared" si="1"/>
        <v>-21012</v>
      </c>
      <c r="P7">
        <f t="shared" si="2"/>
        <v>-2.3043263694686626E-2</v>
      </c>
      <c r="Q7">
        <v>10</v>
      </c>
      <c r="R7">
        <v>35520</v>
      </c>
      <c r="S7">
        <f t="shared" si="3"/>
        <v>5.4644808743169397E-2</v>
      </c>
      <c r="T7">
        <v>78</v>
      </c>
      <c r="U7">
        <v>2.74</v>
      </c>
      <c r="V7">
        <v>476667</v>
      </c>
      <c r="W7">
        <v>1668577</v>
      </c>
      <c r="X7">
        <f t="shared" si="4"/>
        <v>3.5005087409029785</v>
      </c>
      <c r="Y7" t="str">
        <f t="shared" si="5"/>
        <v>Weak Product</v>
      </c>
    </row>
    <row r="8" spans="1:25" x14ac:dyDescent="0.3">
      <c r="A8" t="s">
        <v>47</v>
      </c>
      <c r="B8" t="s">
        <v>48</v>
      </c>
      <c r="C8" t="s">
        <v>27</v>
      </c>
      <c r="D8" s="1">
        <v>44865</v>
      </c>
      <c r="E8">
        <v>882</v>
      </c>
      <c r="F8" t="s">
        <v>28</v>
      </c>
      <c r="G8">
        <v>19648</v>
      </c>
      <c r="H8">
        <v>13952</v>
      </c>
      <c r="I8">
        <v>56</v>
      </c>
      <c r="J8">
        <v>81</v>
      </c>
      <c r="K8">
        <v>1591488</v>
      </c>
      <c r="L8">
        <v>223711</v>
      </c>
      <c r="M8">
        <v>1367777</v>
      </c>
      <c r="N8">
        <f t="shared" si="0"/>
        <v>1130112</v>
      </c>
      <c r="O8">
        <f t="shared" si="1"/>
        <v>237665</v>
      </c>
      <c r="P8">
        <f t="shared" si="2"/>
        <v>0.17376005006664097</v>
      </c>
      <c r="Q8">
        <v>4</v>
      </c>
      <c r="R8">
        <v>70732</v>
      </c>
      <c r="S8">
        <f t="shared" si="3"/>
        <v>7.1428571428571425E-2</v>
      </c>
      <c r="T8">
        <v>22</v>
      </c>
      <c r="U8">
        <v>3.57</v>
      </c>
      <c r="V8">
        <v>156744</v>
      </c>
      <c r="W8">
        <v>1524033</v>
      </c>
      <c r="X8">
        <f t="shared" si="4"/>
        <v>9.7230707395498399</v>
      </c>
      <c r="Y8" t="str">
        <f t="shared" si="5"/>
        <v>Weak Product</v>
      </c>
    </row>
    <row r="9" spans="1:25" x14ac:dyDescent="0.3">
      <c r="A9" t="s">
        <v>49</v>
      </c>
      <c r="B9" t="s">
        <v>50</v>
      </c>
      <c r="C9" t="s">
        <v>27</v>
      </c>
      <c r="D9" s="1">
        <v>45438</v>
      </c>
      <c r="E9">
        <v>309</v>
      </c>
      <c r="F9" t="s">
        <v>28</v>
      </c>
      <c r="G9">
        <v>14045</v>
      </c>
      <c r="H9">
        <v>11247</v>
      </c>
      <c r="I9">
        <v>60</v>
      </c>
      <c r="J9">
        <v>90</v>
      </c>
      <c r="K9">
        <v>1264050</v>
      </c>
      <c r="L9">
        <v>177493</v>
      </c>
      <c r="M9">
        <v>1086557</v>
      </c>
      <c r="N9">
        <f t="shared" si="0"/>
        <v>1012230</v>
      </c>
      <c r="O9">
        <f t="shared" si="1"/>
        <v>74327</v>
      </c>
      <c r="P9">
        <f t="shared" si="2"/>
        <v>6.8405983303222936E-2</v>
      </c>
      <c r="Q9">
        <v>1</v>
      </c>
      <c r="R9">
        <v>12640</v>
      </c>
      <c r="S9">
        <f t="shared" si="3"/>
        <v>1.6666666666666666E-2</v>
      </c>
      <c r="T9">
        <v>22</v>
      </c>
      <c r="U9">
        <v>3.34</v>
      </c>
      <c r="V9">
        <v>327696</v>
      </c>
      <c r="W9">
        <v>7540053</v>
      </c>
      <c r="X9">
        <f t="shared" si="4"/>
        <v>23.009292148820858</v>
      </c>
      <c r="Y9" t="str">
        <f t="shared" si="5"/>
        <v>Weak Product</v>
      </c>
    </row>
    <row r="10" spans="1:25" x14ac:dyDescent="0.3">
      <c r="A10" t="s">
        <v>51</v>
      </c>
      <c r="B10" t="s">
        <v>52</v>
      </c>
      <c r="C10" t="s">
        <v>27</v>
      </c>
      <c r="D10" s="1">
        <v>45616</v>
      </c>
      <c r="E10">
        <v>131</v>
      </c>
      <c r="F10" t="s">
        <v>28</v>
      </c>
      <c r="G10">
        <v>9404</v>
      </c>
      <c r="H10">
        <v>7805</v>
      </c>
      <c r="I10">
        <v>72</v>
      </c>
      <c r="J10">
        <v>108</v>
      </c>
      <c r="K10">
        <v>1015632</v>
      </c>
      <c r="L10">
        <v>170823</v>
      </c>
      <c r="M10">
        <v>844809</v>
      </c>
      <c r="N10">
        <f t="shared" si="0"/>
        <v>842940</v>
      </c>
      <c r="O10">
        <f t="shared" si="1"/>
        <v>1869</v>
      </c>
      <c r="P10">
        <f t="shared" si="2"/>
        <v>2.2123343856421986E-3</v>
      </c>
      <c r="Q10">
        <v>0</v>
      </c>
      <c r="R10">
        <v>0</v>
      </c>
      <c r="S10">
        <f t="shared" si="3"/>
        <v>0</v>
      </c>
      <c r="T10">
        <v>30</v>
      </c>
      <c r="U10">
        <v>3.2</v>
      </c>
      <c r="V10">
        <v>537298</v>
      </c>
      <c r="W10">
        <v>7761809</v>
      </c>
      <c r="X10">
        <f t="shared" si="4"/>
        <v>14.446003893556275</v>
      </c>
      <c r="Y10" t="str">
        <f t="shared" si="5"/>
        <v>Weak Product</v>
      </c>
    </row>
    <row r="11" spans="1:25" x14ac:dyDescent="0.3">
      <c r="A11" t="s">
        <v>53</v>
      </c>
      <c r="B11" t="s">
        <v>54</v>
      </c>
      <c r="C11" t="s">
        <v>27</v>
      </c>
      <c r="D11" s="1">
        <v>45222</v>
      </c>
      <c r="E11">
        <v>525</v>
      </c>
      <c r="F11" t="s">
        <v>28</v>
      </c>
      <c r="G11">
        <v>15353</v>
      </c>
      <c r="H11">
        <v>10112</v>
      </c>
      <c r="I11">
        <v>75</v>
      </c>
      <c r="J11">
        <v>109</v>
      </c>
      <c r="K11">
        <v>1673477</v>
      </c>
      <c r="L11">
        <v>242107</v>
      </c>
      <c r="M11">
        <v>1431370</v>
      </c>
      <c r="N11">
        <f t="shared" si="0"/>
        <v>1102208</v>
      </c>
      <c r="O11">
        <f t="shared" si="1"/>
        <v>329162</v>
      </c>
      <c r="P11">
        <f t="shared" si="2"/>
        <v>0.22996290267366229</v>
      </c>
      <c r="Q11">
        <v>6</v>
      </c>
      <c r="R11">
        <v>82902</v>
      </c>
      <c r="S11">
        <f t="shared" si="3"/>
        <v>0.08</v>
      </c>
      <c r="T11">
        <v>29</v>
      </c>
      <c r="U11">
        <v>3.86</v>
      </c>
      <c r="V11">
        <v>185696</v>
      </c>
      <c r="W11">
        <v>3276269</v>
      </c>
      <c r="X11">
        <f t="shared" si="4"/>
        <v>17.643185636739616</v>
      </c>
      <c r="Y11" t="str">
        <f t="shared" si="5"/>
        <v>Weak Product</v>
      </c>
    </row>
    <row r="12" spans="1:25" x14ac:dyDescent="0.3">
      <c r="A12" t="s">
        <v>55</v>
      </c>
      <c r="B12" t="s">
        <v>56</v>
      </c>
      <c r="C12" t="s">
        <v>27</v>
      </c>
      <c r="D12" s="1">
        <v>45626</v>
      </c>
      <c r="E12">
        <v>121</v>
      </c>
      <c r="F12" t="s">
        <v>28</v>
      </c>
      <c r="G12">
        <v>1800</v>
      </c>
      <c r="H12">
        <v>1084</v>
      </c>
      <c r="I12">
        <v>132</v>
      </c>
      <c r="J12">
        <v>195</v>
      </c>
      <c r="K12">
        <v>351000</v>
      </c>
      <c r="L12">
        <v>59333</v>
      </c>
      <c r="M12">
        <v>291667</v>
      </c>
      <c r="N12">
        <f t="shared" si="0"/>
        <v>211380</v>
      </c>
      <c r="O12">
        <f t="shared" si="1"/>
        <v>80287</v>
      </c>
      <c r="P12">
        <f t="shared" si="2"/>
        <v>0.27526939969211461</v>
      </c>
      <c r="Q12">
        <v>6</v>
      </c>
      <c r="R12">
        <v>9720</v>
      </c>
      <c r="S12">
        <f t="shared" si="3"/>
        <v>4.5454545454545456E-2</v>
      </c>
      <c r="T12">
        <v>58</v>
      </c>
      <c r="U12">
        <v>4.04</v>
      </c>
      <c r="V12">
        <v>183686</v>
      </c>
      <c r="W12">
        <v>238670</v>
      </c>
      <c r="X12">
        <f t="shared" si="4"/>
        <v>1.2993369119040101</v>
      </c>
      <c r="Y12" t="str">
        <f t="shared" si="5"/>
        <v>Star</v>
      </c>
    </row>
    <row r="13" spans="1:25" x14ac:dyDescent="0.3">
      <c r="A13" t="s">
        <v>57</v>
      </c>
      <c r="B13" t="s">
        <v>58</v>
      </c>
      <c r="C13" t="s">
        <v>27</v>
      </c>
      <c r="D13" s="1">
        <v>45198</v>
      </c>
      <c r="E13">
        <v>549</v>
      </c>
      <c r="F13" t="s">
        <v>28</v>
      </c>
      <c r="G13">
        <v>12253</v>
      </c>
      <c r="H13">
        <v>10130</v>
      </c>
      <c r="I13">
        <v>44</v>
      </c>
      <c r="J13">
        <v>68</v>
      </c>
      <c r="K13">
        <v>833204</v>
      </c>
      <c r="L13">
        <v>112962</v>
      </c>
      <c r="M13">
        <v>720242</v>
      </c>
      <c r="N13">
        <f t="shared" si="0"/>
        <v>688840</v>
      </c>
      <c r="O13">
        <f t="shared" si="1"/>
        <v>31402</v>
      </c>
      <c r="P13">
        <f t="shared" si="2"/>
        <v>4.3599234701669716E-2</v>
      </c>
      <c r="Q13">
        <v>2</v>
      </c>
      <c r="R13">
        <v>22054</v>
      </c>
      <c r="S13">
        <f t="shared" si="3"/>
        <v>4.5454545454545456E-2</v>
      </c>
      <c r="T13">
        <v>21</v>
      </c>
      <c r="U13">
        <v>2.98</v>
      </c>
      <c r="V13">
        <v>258319</v>
      </c>
      <c r="W13">
        <v>4999388</v>
      </c>
      <c r="X13">
        <f t="shared" si="4"/>
        <v>19.353543486928952</v>
      </c>
      <c r="Y13" t="str">
        <f t="shared" si="5"/>
        <v>Weak Product</v>
      </c>
    </row>
    <row r="14" spans="1:25" x14ac:dyDescent="0.3">
      <c r="A14" t="s">
        <v>59</v>
      </c>
      <c r="B14" t="s">
        <v>60</v>
      </c>
      <c r="C14" t="s">
        <v>27</v>
      </c>
      <c r="D14" s="1">
        <v>45002</v>
      </c>
      <c r="E14">
        <v>745</v>
      </c>
      <c r="F14" t="s">
        <v>28</v>
      </c>
      <c r="G14">
        <v>17801</v>
      </c>
      <c r="H14">
        <v>10180</v>
      </c>
      <c r="I14">
        <v>27</v>
      </c>
      <c r="J14">
        <v>42</v>
      </c>
      <c r="K14">
        <v>747642</v>
      </c>
      <c r="L14">
        <v>125928</v>
      </c>
      <c r="M14">
        <v>621714</v>
      </c>
      <c r="N14">
        <f t="shared" si="0"/>
        <v>427560</v>
      </c>
      <c r="O14">
        <f t="shared" si="1"/>
        <v>194154</v>
      </c>
      <c r="P14">
        <f t="shared" si="2"/>
        <v>0.31228828689719068</v>
      </c>
      <c r="Q14">
        <v>2</v>
      </c>
      <c r="R14">
        <v>32040</v>
      </c>
      <c r="S14">
        <f t="shared" si="3"/>
        <v>7.407407407407407E-2</v>
      </c>
      <c r="T14">
        <v>10</v>
      </c>
      <c r="U14">
        <v>4.4000000000000004</v>
      </c>
      <c r="V14">
        <v>88296</v>
      </c>
      <c r="W14">
        <v>1538469</v>
      </c>
      <c r="X14">
        <f t="shared" si="4"/>
        <v>17.423994291927155</v>
      </c>
      <c r="Y14" t="str">
        <f t="shared" si="5"/>
        <v>Hidden Opportunity</v>
      </c>
    </row>
    <row r="15" spans="1:25" x14ac:dyDescent="0.3">
      <c r="A15" t="s">
        <v>62</v>
      </c>
      <c r="B15" t="s">
        <v>63</v>
      </c>
      <c r="C15" t="s">
        <v>27</v>
      </c>
      <c r="D15" s="1">
        <v>44867</v>
      </c>
      <c r="E15">
        <v>880</v>
      </c>
      <c r="F15" t="s">
        <v>28</v>
      </c>
      <c r="G15">
        <v>2131</v>
      </c>
      <c r="H15">
        <v>1698</v>
      </c>
      <c r="I15">
        <v>115</v>
      </c>
      <c r="J15">
        <v>171</v>
      </c>
      <c r="K15">
        <v>364401</v>
      </c>
      <c r="L15">
        <v>62536</v>
      </c>
      <c r="M15">
        <v>301865</v>
      </c>
      <c r="N15">
        <f t="shared" si="0"/>
        <v>290358</v>
      </c>
      <c r="O15">
        <f t="shared" si="1"/>
        <v>11507</v>
      </c>
      <c r="P15">
        <f t="shared" si="2"/>
        <v>3.8119689265068819E-2</v>
      </c>
      <c r="Q15">
        <v>4</v>
      </c>
      <c r="R15">
        <v>7668</v>
      </c>
      <c r="S15">
        <f t="shared" si="3"/>
        <v>3.4782608695652174E-2</v>
      </c>
      <c r="T15">
        <v>43</v>
      </c>
      <c r="U15">
        <v>3.42</v>
      </c>
      <c r="V15">
        <v>363757</v>
      </c>
      <c r="W15">
        <v>858406</v>
      </c>
      <c r="X15">
        <f t="shared" si="4"/>
        <v>2.3598336251948417</v>
      </c>
      <c r="Y15" t="str">
        <f t="shared" si="5"/>
        <v>Weak Product</v>
      </c>
    </row>
    <row r="16" spans="1:25" x14ac:dyDescent="0.3">
      <c r="A16" t="s">
        <v>64</v>
      </c>
      <c r="B16" t="s">
        <v>65</v>
      </c>
      <c r="C16" t="s">
        <v>27</v>
      </c>
      <c r="D16" s="1">
        <v>45493</v>
      </c>
      <c r="E16">
        <v>254</v>
      </c>
      <c r="F16" t="s">
        <v>28</v>
      </c>
      <c r="G16">
        <v>13263</v>
      </c>
      <c r="H16">
        <v>6656</v>
      </c>
      <c r="I16">
        <v>46</v>
      </c>
      <c r="J16">
        <v>71</v>
      </c>
      <c r="K16">
        <v>941673</v>
      </c>
      <c r="L16">
        <v>155256</v>
      </c>
      <c r="M16">
        <v>786417</v>
      </c>
      <c r="N16">
        <f t="shared" si="0"/>
        <v>472576</v>
      </c>
      <c r="O16">
        <f t="shared" si="1"/>
        <v>313841</v>
      </c>
      <c r="P16">
        <f t="shared" si="2"/>
        <v>0.39907707997156727</v>
      </c>
      <c r="Q16">
        <v>2</v>
      </c>
      <c r="R16">
        <v>23872</v>
      </c>
      <c r="S16">
        <f t="shared" si="3"/>
        <v>4.3478260869565216E-2</v>
      </c>
      <c r="T16">
        <v>24</v>
      </c>
      <c r="U16">
        <v>4.29</v>
      </c>
      <c r="V16">
        <v>400002</v>
      </c>
      <c r="W16">
        <v>4793124</v>
      </c>
      <c r="X16">
        <f t="shared" si="4"/>
        <v>11.982750086249569</v>
      </c>
      <c r="Y16" t="str">
        <f t="shared" si="5"/>
        <v>Star</v>
      </c>
    </row>
    <row r="17" spans="1:25" x14ac:dyDescent="0.3">
      <c r="A17" t="s">
        <v>66</v>
      </c>
      <c r="B17" t="s">
        <v>67</v>
      </c>
      <c r="C17" t="s">
        <v>27</v>
      </c>
      <c r="D17" s="1">
        <v>45243</v>
      </c>
      <c r="E17">
        <v>504</v>
      </c>
      <c r="F17" t="s">
        <v>28</v>
      </c>
      <c r="G17">
        <v>14337</v>
      </c>
      <c r="H17">
        <v>7110</v>
      </c>
      <c r="I17">
        <v>25</v>
      </c>
      <c r="J17">
        <v>34</v>
      </c>
      <c r="K17">
        <v>487458</v>
      </c>
      <c r="L17">
        <v>69455</v>
      </c>
      <c r="M17">
        <v>418003</v>
      </c>
      <c r="N17">
        <f t="shared" si="0"/>
        <v>241740</v>
      </c>
      <c r="O17">
        <f t="shared" si="1"/>
        <v>176263</v>
      </c>
      <c r="P17">
        <f t="shared" si="2"/>
        <v>0.42167879177900636</v>
      </c>
      <c r="Q17">
        <v>1</v>
      </c>
      <c r="R17">
        <v>12903</v>
      </c>
      <c r="S17">
        <f t="shared" si="3"/>
        <v>0.04</v>
      </c>
      <c r="T17">
        <v>10</v>
      </c>
      <c r="U17">
        <v>4.3</v>
      </c>
      <c r="V17">
        <v>672573</v>
      </c>
      <c r="W17">
        <v>8342599</v>
      </c>
      <c r="X17">
        <f t="shared" si="4"/>
        <v>12.404005215790702</v>
      </c>
      <c r="Y17" t="str">
        <f t="shared" si="5"/>
        <v>Star</v>
      </c>
    </row>
    <row r="18" spans="1:25" x14ac:dyDescent="0.3">
      <c r="A18" t="s">
        <v>68</v>
      </c>
      <c r="B18" t="s">
        <v>69</v>
      </c>
      <c r="C18" t="s">
        <v>27</v>
      </c>
      <c r="D18" s="1">
        <v>44998</v>
      </c>
      <c r="E18">
        <v>749</v>
      </c>
      <c r="F18" t="s">
        <v>28</v>
      </c>
      <c r="G18">
        <v>3891</v>
      </c>
      <c r="H18">
        <v>3234</v>
      </c>
      <c r="I18">
        <v>160</v>
      </c>
      <c r="J18">
        <v>243</v>
      </c>
      <c r="K18">
        <v>945513</v>
      </c>
      <c r="L18">
        <v>111265</v>
      </c>
      <c r="M18">
        <v>834248</v>
      </c>
      <c r="N18">
        <f t="shared" si="0"/>
        <v>785862</v>
      </c>
      <c r="O18">
        <f t="shared" si="1"/>
        <v>48386</v>
      </c>
      <c r="P18">
        <f t="shared" si="2"/>
        <v>5.7999539705219552E-2</v>
      </c>
      <c r="Q18">
        <v>15</v>
      </c>
      <c r="R18">
        <v>52515</v>
      </c>
      <c r="S18">
        <f t="shared" si="3"/>
        <v>9.375E-2</v>
      </c>
      <c r="T18">
        <v>65</v>
      </c>
      <c r="U18">
        <v>3.21</v>
      </c>
      <c r="V18">
        <v>645682</v>
      </c>
      <c r="W18">
        <v>2385964</v>
      </c>
      <c r="X18">
        <f t="shared" si="4"/>
        <v>3.6952617542381545</v>
      </c>
      <c r="Y18" t="str">
        <f t="shared" si="5"/>
        <v>Weak Product</v>
      </c>
    </row>
    <row r="19" spans="1:25" x14ac:dyDescent="0.3">
      <c r="A19" t="s">
        <v>70</v>
      </c>
      <c r="B19" t="s">
        <v>71</v>
      </c>
      <c r="C19" t="s">
        <v>27</v>
      </c>
      <c r="D19" s="1">
        <v>44846</v>
      </c>
      <c r="E19">
        <v>901</v>
      </c>
      <c r="F19" t="s">
        <v>28</v>
      </c>
      <c r="G19">
        <v>8537</v>
      </c>
      <c r="H19">
        <v>3952</v>
      </c>
      <c r="I19">
        <v>40</v>
      </c>
      <c r="J19">
        <v>61</v>
      </c>
      <c r="K19">
        <v>520757</v>
      </c>
      <c r="L19">
        <v>68688</v>
      </c>
      <c r="M19">
        <v>452069</v>
      </c>
      <c r="N19">
        <f t="shared" si="0"/>
        <v>241072</v>
      </c>
      <c r="O19">
        <f t="shared" si="1"/>
        <v>210997</v>
      </c>
      <c r="P19">
        <f t="shared" si="2"/>
        <v>0.46673627256016226</v>
      </c>
      <c r="Q19">
        <v>0</v>
      </c>
      <c r="R19">
        <v>0</v>
      </c>
      <c r="S19">
        <f t="shared" si="3"/>
        <v>0</v>
      </c>
      <c r="T19">
        <v>14</v>
      </c>
      <c r="U19">
        <v>4.46</v>
      </c>
      <c r="V19">
        <v>334325</v>
      </c>
      <c r="W19">
        <v>3173992</v>
      </c>
      <c r="X19">
        <f t="shared" si="4"/>
        <v>9.4937321468630831</v>
      </c>
      <c r="Y19" t="str">
        <f t="shared" si="5"/>
        <v>Star</v>
      </c>
    </row>
    <row r="20" spans="1:25" x14ac:dyDescent="0.3">
      <c r="A20" t="s">
        <v>72</v>
      </c>
      <c r="B20" t="s">
        <v>73</v>
      </c>
      <c r="C20" t="s">
        <v>27</v>
      </c>
      <c r="D20" s="1">
        <v>44996</v>
      </c>
      <c r="E20">
        <v>751</v>
      </c>
      <c r="F20" t="s">
        <v>28</v>
      </c>
      <c r="G20">
        <v>3954</v>
      </c>
      <c r="H20">
        <v>3036</v>
      </c>
      <c r="I20">
        <v>137</v>
      </c>
      <c r="J20">
        <v>199</v>
      </c>
      <c r="K20">
        <v>786846</v>
      </c>
      <c r="L20">
        <v>135225</v>
      </c>
      <c r="M20">
        <v>651621</v>
      </c>
      <c r="N20">
        <f t="shared" si="0"/>
        <v>604164</v>
      </c>
      <c r="O20">
        <f t="shared" si="1"/>
        <v>47457</v>
      </c>
      <c r="P20">
        <f t="shared" si="2"/>
        <v>7.2829144548748434E-2</v>
      </c>
      <c r="Q20">
        <v>7</v>
      </c>
      <c r="R20">
        <v>24906</v>
      </c>
      <c r="S20">
        <f t="shared" si="3"/>
        <v>5.1094890510948905E-2</v>
      </c>
      <c r="T20">
        <v>63</v>
      </c>
      <c r="U20">
        <v>3.52</v>
      </c>
      <c r="V20">
        <v>601188</v>
      </c>
      <c r="W20">
        <v>1458337</v>
      </c>
      <c r="X20">
        <f t="shared" si="4"/>
        <v>2.4257586645109348</v>
      </c>
      <c r="Y20" t="str">
        <f t="shared" si="5"/>
        <v>Weak Product</v>
      </c>
    </row>
    <row r="21" spans="1:25" x14ac:dyDescent="0.3">
      <c r="A21" t="s">
        <v>74</v>
      </c>
      <c r="B21" t="s">
        <v>75</v>
      </c>
      <c r="C21" t="s">
        <v>27</v>
      </c>
      <c r="D21" s="1">
        <v>45475</v>
      </c>
      <c r="E21">
        <v>272</v>
      </c>
      <c r="F21" t="s">
        <v>28</v>
      </c>
      <c r="G21">
        <v>16934</v>
      </c>
      <c r="H21">
        <v>8286</v>
      </c>
      <c r="I21">
        <v>78</v>
      </c>
      <c r="J21">
        <v>112</v>
      </c>
      <c r="K21">
        <v>1896608</v>
      </c>
      <c r="L21">
        <v>261163</v>
      </c>
      <c r="M21">
        <v>1635445</v>
      </c>
      <c r="N21">
        <f t="shared" si="0"/>
        <v>928032</v>
      </c>
      <c r="O21">
        <f t="shared" si="1"/>
        <v>707413</v>
      </c>
      <c r="P21">
        <f t="shared" si="2"/>
        <v>0.43255077364264771</v>
      </c>
      <c r="Q21">
        <v>5</v>
      </c>
      <c r="R21">
        <v>76200</v>
      </c>
      <c r="S21">
        <f t="shared" si="3"/>
        <v>6.4102564102564097E-2</v>
      </c>
      <c r="T21">
        <v>28</v>
      </c>
      <c r="U21">
        <v>4.55</v>
      </c>
      <c r="V21">
        <v>346483</v>
      </c>
      <c r="W21">
        <v>6619773</v>
      </c>
      <c r="X21">
        <f t="shared" si="4"/>
        <v>19.105621343615706</v>
      </c>
      <c r="Y21" t="str">
        <f t="shared" si="5"/>
        <v>Weak Product</v>
      </c>
    </row>
    <row r="22" spans="1:25" x14ac:dyDescent="0.3">
      <c r="A22" t="s">
        <v>76</v>
      </c>
      <c r="B22" t="s">
        <v>77</v>
      </c>
      <c r="C22" t="s">
        <v>27</v>
      </c>
      <c r="D22" s="1">
        <v>45378</v>
      </c>
      <c r="E22">
        <v>369</v>
      </c>
      <c r="F22" t="s">
        <v>28</v>
      </c>
      <c r="G22">
        <v>17973</v>
      </c>
      <c r="H22">
        <v>8463</v>
      </c>
      <c r="I22">
        <v>39</v>
      </c>
      <c r="J22">
        <v>56</v>
      </c>
      <c r="K22">
        <v>1006488</v>
      </c>
      <c r="L22">
        <v>147401</v>
      </c>
      <c r="M22">
        <v>859087</v>
      </c>
      <c r="N22">
        <f t="shared" si="0"/>
        <v>473928</v>
      </c>
      <c r="O22">
        <f t="shared" si="1"/>
        <v>385159</v>
      </c>
      <c r="P22">
        <f t="shared" si="2"/>
        <v>0.44833526755730213</v>
      </c>
      <c r="Q22">
        <v>4</v>
      </c>
      <c r="R22">
        <v>64700</v>
      </c>
      <c r="S22">
        <f t="shared" si="3"/>
        <v>0.10256410256410256</v>
      </c>
      <c r="T22">
        <v>18</v>
      </c>
      <c r="U22">
        <v>4.6399999999999997</v>
      </c>
      <c r="V22">
        <v>279327</v>
      </c>
      <c r="W22">
        <v>5711704</v>
      </c>
      <c r="X22">
        <f t="shared" si="4"/>
        <v>20.448091305172792</v>
      </c>
      <c r="Y22" t="str">
        <f t="shared" si="5"/>
        <v>Weak Product</v>
      </c>
    </row>
    <row r="23" spans="1:25" x14ac:dyDescent="0.3">
      <c r="A23" t="s">
        <v>78</v>
      </c>
      <c r="B23" t="s">
        <v>79</v>
      </c>
      <c r="C23" t="s">
        <v>27</v>
      </c>
      <c r="D23" s="1">
        <v>45415</v>
      </c>
      <c r="E23">
        <v>332</v>
      </c>
      <c r="F23" t="s">
        <v>28</v>
      </c>
      <c r="G23">
        <v>8145</v>
      </c>
      <c r="H23">
        <v>7118</v>
      </c>
      <c r="I23">
        <v>52</v>
      </c>
      <c r="J23">
        <v>81</v>
      </c>
      <c r="K23">
        <v>659745</v>
      </c>
      <c r="L23">
        <v>68608</v>
      </c>
      <c r="M23">
        <v>591137</v>
      </c>
      <c r="N23">
        <f t="shared" si="0"/>
        <v>576558</v>
      </c>
      <c r="O23">
        <f t="shared" si="1"/>
        <v>14579</v>
      </c>
      <c r="P23">
        <f t="shared" si="2"/>
        <v>2.4662641654980149E-2</v>
      </c>
      <c r="Q23">
        <v>1</v>
      </c>
      <c r="R23">
        <v>7330</v>
      </c>
      <c r="S23">
        <f t="shared" si="3"/>
        <v>1.9230769230769232E-2</v>
      </c>
      <c r="T23">
        <v>26</v>
      </c>
      <c r="U23">
        <v>3.25</v>
      </c>
      <c r="V23">
        <v>101759</v>
      </c>
      <c r="W23">
        <v>1068944</v>
      </c>
      <c r="X23">
        <f t="shared" si="4"/>
        <v>10.504662978213229</v>
      </c>
      <c r="Y23" t="str">
        <f t="shared" si="5"/>
        <v>Weak Product</v>
      </c>
    </row>
    <row r="24" spans="1:25" x14ac:dyDescent="0.3">
      <c r="A24" t="s">
        <v>80</v>
      </c>
      <c r="B24" t="s">
        <v>81</v>
      </c>
      <c r="C24" t="s">
        <v>27</v>
      </c>
      <c r="D24" s="1">
        <v>45321</v>
      </c>
      <c r="E24">
        <v>426</v>
      </c>
      <c r="F24" t="s">
        <v>28</v>
      </c>
      <c r="G24">
        <v>4419</v>
      </c>
      <c r="H24">
        <v>3721</v>
      </c>
      <c r="I24">
        <v>151</v>
      </c>
      <c r="J24">
        <v>227</v>
      </c>
      <c r="K24">
        <v>1003113</v>
      </c>
      <c r="L24">
        <v>173953</v>
      </c>
      <c r="M24">
        <v>829160</v>
      </c>
      <c r="N24">
        <f t="shared" si="0"/>
        <v>844667</v>
      </c>
      <c r="O24">
        <f t="shared" si="1"/>
        <v>-15507</v>
      </c>
      <c r="P24">
        <f t="shared" si="2"/>
        <v>-1.8702059916059628E-2</v>
      </c>
      <c r="Q24">
        <v>21</v>
      </c>
      <c r="R24">
        <v>83517</v>
      </c>
      <c r="S24">
        <f t="shared" si="3"/>
        <v>0.13907284768211919</v>
      </c>
      <c r="T24">
        <v>63</v>
      </c>
      <c r="U24">
        <v>2.89</v>
      </c>
      <c r="V24">
        <v>81301</v>
      </c>
      <c r="W24">
        <v>438138</v>
      </c>
      <c r="X24">
        <f t="shared" si="4"/>
        <v>5.3890850051044881</v>
      </c>
      <c r="Y24" t="str">
        <f t="shared" si="5"/>
        <v>Weak Product</v>
      </c>
    </row>
    <row r="25" spans="1:25" x14ac:dyDescent="0.3">
      <c r="A25" t="s">
        <v>82</v>
      </c>
      <c r="B25" t="s">
        <v>83</v>
      </c>
      <c r="C25" t="s">
        <v>27</v>
      </c>
      <c r="D25" s="1">
        <v>45541</v>
      </c>
      <c r="E25">
        <v>206</v>
      </c>
      <c r="F25" t="s">
        <v>28</v>
      </c>
      <c r="G25">
        <v>17970</v>
      </c>
      <c r="H25">
        <v>10065</v>
      </c>
      <c r="I25">
        <v>88</v>
      </c>
      <c r="J25">
        <v>130</v>
      </c>
      <c r="K25">
        <v>2336100</v>
      </c>
      <c r="L25">
        <v>376883</v>
      </c>
      <c r="M25">
        <v>1959217</v>
      </c>
      <c r="N25">
        <f t="shared" si="0"/>
        <v>1308450</v>
      </c>
      <c r="O25">
        <f t="shared" si="1"/>
        <v>650767</v>
      </c>
      <c r="P25">
        <f t="shared" si="2"/>
        <v>0.33215667279326383</v>
      </c>
      <c r="Q25">
        <v>2</v>
      </c>
      <c r="R25">
        <v>32346</v>
      </c>
      <c r="S25">
        <f t="shared" si="3"/>
        <v>2.2727272727272728E-2</v>
      </c>
      <c r="T25">
        <v>38</v>
      </c>
      <c r="U25">
        <v>4.25</v>
      </c>
      <c r="V25">
        <v>238446</v>
      </c>
      <c r="W25">
        <v>4276178</v>
      </c>
      <c r="X25">
        <f t="shared" si="4"/>
        <v>17.933527926658446</v>
      </c>
      <c r="Y25" t="str">
        <f t="shared" si="5"/>
        <v>Star</v>
      </c>
    </row>
    <row r="26" spans="1:25" x14ac:dyDescent="0.3">
      <c r="A26" t="s">
        <v>84</v>
      </c>
      <c r="B26" t="s">
        <v>85</v>
      </c>
      <c r="C26" t="s">
        <v>27</v>
      </c>
      <c r="D26" s="1">
        <v>45065</v>
      </c>
      <c r="E26">
        <v>682</v>
      </c>
      <c r="F26" t="s">
        <v>28</v>
      </c>
      <c r="G26">
        <v>15093</v>
      </c>
      <c r="H26">
        <v>12761</v>
      </c>
      <c r="I26">
        <v>68</v>
      </c>
      <c r="J26">
        <v>106</v>
      </c>
      <c r="K26">
        <v>1599858</v>
      </c>
      <c r="L26">
        <v>288180</v>
      </c>
      <c r="M26">
        <v>1311678</v>
      </c>
      <c r="N26">
        <f t="shared" si="0"/>
        <v>1352666</v>
      </c>
      <c r="O26">
        <f t="shared" si="1"/>
        <v>-40988</v>
      </c>
      <c r="P26">
        <f t="shared" si="2"/>
        <v>-3.1248522884427428E-2</v>
      </c>
      <c r="Q26">
        <v>7</v>
      </c>
      <c r="R26">
        <v>95081</v>
      </c>
      <c r="S26">
        <f t="shared" si="3"/>
        <v>0.10294117647058823</v>
      </c>
      <c r="T26">
        <v>19</v>
      </c>
      <c r="U26">
        <v>3</v>
      </c>
      <c r="V26">
        <v>144442</v>
      </c>
      <c r="W26">
        <v>3389001</v>
      </c>
      <c r="X26">
        <f t="shared" si="4"/>
        <v>23.462711676659143</v>
      </c>
      <c r="Y26" t="str">
        <f t="shared" si="5"/>
        <v>Weak Product</v>
      </c>
    </row>
    <row r="27" spans="1:25" x14ac:dyDescent="0.3">
      <c r="A27" t="s">
        <v>86</v>
      </c>
      <c r="B27" t="s">
        <v>87</v>
      </c>
      <c r="C27" t="s">
        <v>27</v>
      </c>
      <c r="D27" s="1">
        <v>44867</v>
      </c>
      <c r="E27">
        <v>880</v>
      </c>
      <c r="F27" t="s">
        <v>28</v>
      </c>
      <c r="G27">
        <v>2228</v>
      </c>
      <c r="H27">
        <v>1775</v>
      </c>
      <c r="I27">
        <v>79</v>
      </c>
      <c r="J27">
        <v>122</v>
      </c>
      <c r="K27">
        <v>271816</v>
      </c>
      <c r="L27">
        <v>50119</v>
      </c>
      <c r="M27">
        <v>221697</v>
      </c>
      <c r="N27">
        <f t="shared" si="0"/>
        <v>216550</v>
      </c>
      <c r="O27">
        <f t="shared" si="1"/>
        <v>5147</v>
      </c>
      <c r="P27">
        <f t="shared" si="2"/>
        <v>2.3216371894973772E-2</v>
      </c>
      <c r="Q27">
        <v>8</v>
      </c>
      <c r="R27">
        <v>16040</v>
      </c>
      <c r="S27">
        <f t="shared" si="3"/>
        <v>0.10126582278481013</v>
      </c>
      <c r="T27">
        <v>30</v>
      </c>
      <c r="U27">
        <v>3.35</v>
      </c>
      <c r="V27">
        <v>171571</v>
      </c>
      <c r="W27">
        <v>954251</v>
      </c>
      <c r="X27">
        <f t="shared" si="4"/>
        <v>5.5618432019397215</v>
      </c>
      <c r="Y27" t="str">
        <f t="shared" si="5"/>
        <v>Weak Product</v>
      </c>
    </row>
    <row r="28" spans="1:25" x14ac:dyDescent="0.3">
      <c r="A28" t="s">
        <v>88</v>
      </c>
      <c r="B28" t="s">
        <v>89</v>
      </c>
      <c r="C28" t="s">
        <v>27</v>
      </c>
      <c r="D28" s="1">
        <v>45419</v>
      </c>
      <c r="E28">
        <v>328</v>
      </c>
      <c r="F28" t="s">
        <v>28</v>
      </c>
      <c r="G28">
        <v>4634</v>
      </c>
      <c r="H28">
        <v>2662</v>
      </c>
      <c r="I28">
        <v>120</v>
      </c>
      <c r="J28">
        <v>184</v>
      </c>
      <c r="K28">
        <v>852656</v>
      </c>
      <c r="L28">
        <v>85493</v>
      </c>
      <c r="M28">
        <v>767163</v>
      </c>
      <c r="N28">
        <f t="shared" si="0"/>
        <v>489808</v>
      </c>
      <c r="O28">
        <f t="shared" si="1"/>
        <v>277355</v>
      </c>
      <c r="P28">
        <f t="shared" si="2"/>
        <v>0.36153333776524677</v>
      </c>
      <c r="Q28">
        <v>2</v>
      </c>
      <c r="R28">
        <v>8340</v>
      </c>
      <c r="S28">
        <f t="shared" si="3"/>
        <v>1.6666666666666666E-2</v>
      </c>
      <c r="T28">
        <v>43</v>
      </c>
      <c r="U28">
        <v>4.3499999999999996</v>
      </c>
      <c r="V28">
        <v>455966</v>
      </c>
      <c r="W28">
        <v>1836361</v>
      </c>
      <c r="X28">
        <f t="shared" si="4"/>
        <v>4.0274077453143438</v>
      </c>
      <c r="Y28" t="str">
        <f t="shared" si="5"/>
        <v>Star</v>
      </c>
    </row>
    <row r="29" spans="1:25" x14ac:dyDescent="0.3">
      <c r="A29" t="s">
        <v>90</v>
      </c>
      <c r="B29" t="s">
        <v>91</v>
      </c>
      <c r="C29" t="s">
        <v>27</v>
      </c>
      <c r="D29" s="1">
        <v>45255</v>
      </c>
      <c r="E29">
        <v>492</v>
      </c>
      <c r="F29" t="s">
        <v>28</v>
      </c>
      <c r="G29">
        <v>14423</v>
      </c>
      <c r="H29">
        <v>10681</v>
      </c>
      <c r="I29">
        <v>65</v>
      </c>
      <c r="J29">
        <v>100</v>
      </c>
      <c r="K29">
        <v>1442300</v>
      </c>
      <c r="L29">
        <v>192222</v>
      </c>
      <c r="M29">
        <v>1250078</v>
      </c>
      <c r="N29">
        <f t="shared" si="0"/>
        <v>1068100</v>
      </c>
      <c r="O29">
        <f t="shared" si="1"/>
        <v>181978</v>
      </c>
      <c r="P29">
        <f t="shared" si="2"/>
        <v>0.14557331622506756</v>
      </c>
      <c r="Q29">
        <v>8</v>
      </c>
      <c r="R29">
        <v>103840</v>
      </c>
      <c r="S29">
        <f t="shared" si="3"/>
        <v>0.12307692307692308</v>
      </c>
      <c r="T29">
        <v>26</v>
      </c>
      <c r="U29">
        <v>3.56</v>
      </c>
      <c r="V29">
        <v>333152</v>
      </c>
      <c r="W29">
        <v>4365183</v>
      </c>
      <c r="X29">
        <f t="shared" si="4"/>
        <v>13.102676856209778</v>
      </c>
      <c r="Y29" t="str">
        <f t="shared" si="5"/>
        <v>Weak Product</v>
      </c>
    </row>
    <row r="30" spans="1:25" x14ac:dyDescent="0.3">
      <c r="A30" t="s">
        <v>92</v>
      </c>
      <c r="B30" t="s">
        <v>93</v>
      </c>
      <c r="C30" t="s">
        <v>27</v>
      </c>
      <c r="D30" s="1">
        <v>44946</v>
      </c>
      <c r="E30">
        <v>801</v>
      </c>
      <c r="F30" t="s">
        <v>28</v>
      </c>
      <c r="G30">
        <v>11417</v>
      </c>
      <c r="H30">
        <v>6162</v>
      </c>
      <c r="I30">
        <v>99</v>
      </c>
      <c r="J30">
        <v>150</v>
      </c>
      <c r="K30">
        <v>1712550</v>
      </c>
      <c r="L30">
        <v>155995</v>
      </c>
      <c r="M30">
        <v>1556555</v>
      </c>
      <c r="N30">
        <f t="shared" si="0"/>
        <v>924300</v>
      </c>
      <c r="O30">
        <f t="shared" si="1"/>
        <v>632255</v>
      </c>
      <c r="P30">
        <f t="shared" si="2"/>
        <v>0.40618866663882741</v>
      </c>
      <c r="Q30">
        <v>5</v>
      </c>
      <c r="R30">
        <v>51375</v>
      </c>
      <c r="S30">
        <f t="shared" si="3"/>
        <v>5.0505050505050504E-2</v>
      </c>
      <c r="T30">
        <v>45</v>
      </c>
      <c r="U30">
        <v>4.21</v>
      </c>
      <c r="V30">
        <v>274405</v>
      </c>
      <c r="W30">
        <v>3340149</v>
      </c>
      <c r="X30">
        <f t="shared" si="4"/>
        <v>12.172332865654781</v>
      </c>
      <c r="Y30" t="str">
        <f t="shared" si="5"/>
        <v>Weak Product</v>
      </c>
    </row>
    <row r="31" spans="1:25" x14ac:dyDescent="0.3">
      <c r="A31" t="s">
        <v>94</v>
      </c>
      <c r="B31" t="s">
        <v>95</v>
      </c>
      <c r="C31" t="s">
        <v>27</v>
      </c>
      <c r="D31" s="1">
        <v>44912</v>
      </c>
      <c r="E31">
        <v>835</v>
      </c>
      <c r="F31" t="s">
        <v>28</v>
      </c>
      <c r="G31">
        <v>8484</v>
      </c>
      <c r="H31">
        <v>4296</v>
      </c>
      <c r="I31">
        <v>70</v>
      </c>
      <c r="J31">
        <v>107</v>
      </c>
      <c r="K31">
        <v>907788</v>
      </c>
      <c r="L31">
        <v>108926</v>
      </c>
      <c r="M31">
        <v>798862</v>
      </c>
      <c r="N31">
        <f t="shared" si="0"/>
        <v>459672</v>
      </c>
      <c r="O31">
        <f t="shared" si="1"/>
        <v>339190</v>
      </c>
      <c r="P31">
        <f t="shared" si="2"/>
        <v>0.42459148138226627</v>
      </c>
      <c r="Q31">
        <v>2</v>
      </c>
      <c r="R31">
        <v>15270</v>
      </c>
      <c r="S31">
        <f t="shared" si="3"/>
        <v>2.8571428571428571E-2</v>
      </c>
      <c r="T31">
        <v>35</v>
      </c>
      <c r="U31">
        <v>4.3</v>
      </c>
      <c r="V31">
        <v>306031</v>
      </c>
      <c r="W31">
        <v>3693251</v>
      </c>
      <c r="X31">
        <f t="shared" si="4"/>
        <v>12.06822511444919</v>
      </c>
      <c r="Y31" t="str">
        <f t="shared" si="5"/>
        <v>Star</v>
      </c>
    </row>
    <row r="32" spans="1:25" x14ac:dyDescent="0.3">
      <c r="A32" t="s">
        <v>96</v>
      </c>
      <c r="B32" t="s">
        <v>97</v>
      </c>
      <c r="C32" t="s">
        <v>27</v>
      </c>
      <c r="D32" s="1">
        <v>45606</v>
      </c>
      <c r="E32">
        <v>141</v>
      </c>
      <c r="F32" t="s">
        <v>28</v>
      </c>
      <c r="G32">
        <v>782</v>
      </c>
      <c r="H32">
        <v>362</v>
      </c>
      <c r="I32">
        <v>125</v>
      </c>
      <c r="J32">
        <v>179</v>
      </c>
      <c r="K32">
        <v>139978</v>
      </c>
      <c r="L32">
        <v>21421</v>
      </c>
      <c r="M32">
        <v>118557</v>
      </c>
      <c r="N32">
        <f t="shared" si="0"/>
        <v>64798</v>
      </c>
      <c r="O32">
        <f t="shared" si="1"/>
        <v>53759</v>
      </c>
      <c r="P32">
        <f t="shared" si="2"/>
        <v>0.45344433479254703</v>
      </c>
      <c r="Q32">
        <v>12</v>
      </c>
      <c r="R32">
        <v>8436</v>
      </c>
      <c r="S32">
        <f t="shared" si="3"/>
        <v>9.6000000000000002E-2</v>
      </c>
      <c r="T32">
        <v>52</v>
      </c>
      <c r="U32">
        <v>4.63</v>
      </c>
      <c r="V32">
        <v>736244</v>
      </c>
      <c r="W32">
        <v>536171</v>
      </c>
      <c r="X32">
        <f t="shared" si="4"/>
        <v>0.72825177522669116</v>
      </c>
      <c r="Y32" t="str">
        <f t="shared" si="5"/>
        <v>Weak Product</v>
      </c>
    </row>
    <row r="33" spans="1:25" x14ac:dyDescent="0.3">
      <c r="A33" t="s">
        <v>98</v>
      </c>
      <c r="B33" t="s">
        <v>99</v>
      </c>
      <c r="C33" t="s">
        <v>27</v>
      </c>
      <c r="D33" s="1">
        <v>45234</v>
      </c>
      <c r="E33">
        <v>513</v>
      </c>
      <c r="F33" t="s">
        <v>28</v>
      </c>
      <c r="G33">
        <v>5693</v>
      </c>
      <c r="H33">
        <v>4152</v>
      </c>
      <c r="I33">
        <v>92</v>
      </c>
      <c r="J33">
        <v>136</v>
      </c>
      <c r="K33">
        <v>774248</v>
      </c>
      <c r="L33">
        <v>86013</v>
      </c>
      <c r="M33">
        <v>688235</v>
      </c>
      <c r="N33">
        <f t="shared" si="0"/>
        <v>564672</v>
      </c>
      <c r="O33">
        <f t="shared" si="1"/>
        <v>123563</v>
      </c>
      <c r="P33">
        <f t="shared" si="2"/>
        <v>0.17953605963079472</v>
      </c>
      <c r="Q33">
        <v>7</v>
      </c>
      <c r="R33">
        <v>35861</v>
      </c>
      <c r="S33">
        <f t="shared" si="3"/>
        <v>7.6086956521739135E-2</v>
      </c>
      <c r="T33">
        <v>44</v>
      </c>
      <c r="U33">
        <v>3.66</v>
      </c>
      <c r="V33">
        <v>449972</v>
      </c>
      <c r="W33">
        <v>3841760</v>
      </c>
      <c r="X33">
        <f t="shared" si="4"/>
        <v>8.5377756838203265</v>
      </c>
      <c r="Y33" t="str">
        <f t="shared" si="5"/>
        <v>Weak Product</v>
      </c>
    </row>
    <row r="34" spans="1:25" x14ac:dyDescent="0.3">
      <c r="A34" t="s">
        <v>100</v>
      </c>
      <c r="B34" t="s">
        <v>101</v>
      </c>
      <c r="C34" t="s">
        <v>27</v>
      </c>
      <c r="D34" s="1">
        <v>45138</v>
      </c>
      <c r="E34">
        <v>609</v>
      </c>
      <c r="F34" t="s">
        <v>28</v>
      </c>
      <c r="G34">
        <v>16246</v>
      </c>
      <c r="H34">
        <v>13489</v>
      </c>
      <c r="I34">
        <v>24</v>
      </c>
      <c r="J34">
        <v>32</v>
      </c>
      <c r="K34">
        <v>519872</v>
      </c>
      <c r="L34">
        <v>91244</v>
      </c>
      <c r="M34">
        <v>428628</v>
      </c>
      <c r="N34">
        <f t="shared" si="0"/>
        <v>431648</v>
      </c>
      <c r="O34">
        <f t="shared" si="1"/>
        <v>-3020</v>
      </c>
      <c r="P34">
        <f t="shared" si="2"/>
        <v>-7.0457366294315819E-3</v>
      </c>
      <c r="Q34">
        <v>1</v>
      </c>
      <c r="R34">
        <v>14621</v>
      </c>
      <c r="S34">
        <f t="shared" si="3"/>
        <v>4.1666666666666664E-2</v>
      </c>
      <c r="T34">
        <v>8</v>
      </c>
      <c r="U34">
        <v>3.56</v>
      </c>
      <c r="V34">
        <v>163875</v>
      </c>
      <c r="W34">
        <v>2063287</v>
      </c>
      <c r="X34">
        <f t="shared" si="4"/>
        <v>12.590614797864227</v>
      </c>
      <c r="Y34" t="str">
        <f t="shared" si="5"/>
        <v>Weak Product</v>
      </c>
    </row>
    <row r="35" spans="1:25" x14ac:dyDescent="0.3">
      <c r="A35" t="s">
        <v>102</v>
      </c>
      <c r="B35" t="s">
        <v>103</v>
      </c>
      <c r="C35" t="s">
        <v>27</v>
      </c>
      <c r="D35" s="1">
        <v>45349</v>
      </c>
      <c r="E35">
        <v>398</v>
      </c>
      <c r="F35" t="s">
        <v>28</v>
      </c>
      <c r="G35">
        <v>1942</v>
      </c>
      <c r="H35">
        <v>1237</v>
      </c>
      <c r="I35">
        <v>253</v>
      </c>
      <c r="J35">
        <v>387</v>
      </c>
      <c r="K35">
        <v>751554</v>
      </c>
      <c r="L35">
        <v>101828</v>
      </c>
      <c r="M35">
        <v>649726</v>
      </c>
      <c r="N35">
        <f t="shared" si="0"/>
        <v>478719</v>
      </c>
      <c r="O35">
        <f t="shared" si="1"/>
        <v>171007</v>
      </c>
      <c r="P35">
        <f t="shared" si="2"/>
        <v>0.26319864065775417</v>
      </c>
      <c r="Q35">
        <v>8</v>
      </c>
      <c r="R35">
        <v>13976</v>
      </c>
      <c r="S35">
        <f t="shared" si="3"/>
        <v>3.1620553359683792E-2</v>
      </c>
      <c r="T35">
        <v>91</v>
      </c>
      <c r="U35">
        <v>3.92</v>
      </c>
      <c r="V35">
        <v>338734</v>
      </c>
      <c r="W35">
        <v>845203</v>
      </c>
      <c r="X35">
        <f t="shared" si="4"/>
        <v>2.4951820602596726</v>
      </c>
      <c r="Y35" t="str">
        <f t="shared" si="5"/>
        <v>Weak Product</v>
      </c>
    </row>
    <row r="36" spans="1:25" x14ac:dyDescent="0.3">
      <c r="A36" t="s">
        <v>104</v>
      </c>
      <c r="B36" t="s">
        <v>105</v>
      </c>
      <c r="C36" t="s">
        <v>27</v>
      </c>
      <c r="D36" s="1">
        <v>45075</v>
      </c>
      <c r="E36">
        <v>672</v>
      </c>
      <c r="F36" t="s">
        <v>28</v>
      </c>
      <c r="G36">
        <v>19797</v>
      </c>
      <c r="H36">
        <v>17211</v>
      </c>
      <c r="I36">
        <v>78</v>
      </c>
      <c r="J36">
        <v>125</v>
      </c>
      <c r="K36">
        <v>2474625</v>
      </c>
      <c r="L36">
        <v>420868</v>
      </c>
      <c r="M36">
        <v>2053757</v>
      </c>
      <c r="N36">
        <f t="shared" si="0"/>
        <v>2151375</v>
      </c>
      <c r="O36">
        <f t="shared" si="1"/>
        <v>-97618</v>
      </c>
      <c r="P36">
        <f t="shared" si="2"/>
        <v>-4.7531426551437196E-2</v>
      </c>
      <c r="Q36">
        <v>0</v>
      </c>
      <c r="R36">
        <v>0</v>
      </c>
      <c r="S36">
        <f t="shared" si="3"/>
        <v>0</v>
      </c>
      <c r="T36">
        <v>33</v>
      </c>
      <c r="U36">
        <v>3</v>
      </c>
      <c r="V36">
        <v>159787</v>
      </c>
      <c r="W36">
        <v>3842803</v>
      </c>
      <c r="X36">
        <f t="shared" si="4"/>
        <v>24.049534693060135</v>
      </c>
      <c r="Y36" t="str">
        <f t="shared" si="5"/>
        <v>Weak Product</v>
      </c>
    </row>
    <row r="37" spans="1:25" x14ac:dyDescent="0.3">
      <c r="A37" t="s">
        <v>106</v>
      </c>
      <c r="B37" t="s">
        <v>107</v>
      </c>
      <c r="C37" t="s">
        <v>27</v>
      </c>
      <c r="D37" s="1">
        <v>45432</v>
      </c>
      <c r="E37">
        <v>315</v>
      </c>
      <c r="F37" t="s">
        <v>28</v>
      </c>
      <c r="G37">
        <v>2985</v>
      </c>
      <c r="H37">
        <v>2123</v>
      </c>
      <c r="I37">
        <v>95</v>
      </c>
      <c r="J37">
        <v>143</v>
      </c>
      <c r="K37">
        <v>426855</v>
      </c>
      <c r="L37">
        <v>59771</v>
      </c>
      <c r="M37">
        <v>367084</v>
      </c>
      <c r="N37">
        <f t="shared" si="0"/>
        <v>303589</v>
      </c>
      <c r="O37">
        <f t="shared" si="1"/>
        <v>63495</v>
      </c>
      <c r="P37">
        <f t="shared" si="2"/>
        <v>0.17297130901918906</v>
      </c>
      <c r="Q37">
        <v>8</v>
      </c>
      <c r="R37">
        <v>21488</v>
      </c>
      <c r="S37">
        <f t="shared" si="3"/>
        <v>8.4210526315789472E-2</v>
      </c>
      <c r="T37">
        <v>31</v>
      </c>
      <c r="U37">
        <v>3.84</v>
      </c>
      <c r="V37">
        <v>378728</v>
      </c>
      <c r="W37">
        <v>2073105</v>
      </c>
      <c r="X37">
        <f t="shared" si="4"/>
        <v>5.4738625081852943</v>
      </c>
      <c r="Y37" t="str">
        <f t="shared" si="5"/>
        <v>Weak Product</v>
      </c>
    </row>
    <row r="38" spans="1:25" x14ac:dyDescent="0.3">
      <c r="A38" t="s">
        <v>108</v>
      </c>
      <c r="B38" t="s">
        <v>109</v>
      </c>
      <c r="C38" t="s">
        <v>27</v>
      </c>
      <c r="D38" s="1">
        <v>45522</v>
      </c>
      <c r="E38">
        <v>225</v>
      </c>
      <c r="F38" t="s">
        <v>28</v>
      </c>
      <c r="G38">
        <v>9002</v>
      </c>
      <c r="H38">
        <v>6498</v>
      </c>
      <c r="I38">
        <v>33</v>
      </c>
      <c r="J38">
        <v>52</v>
      </c>
      <c r="K38">
        <v>468104</v>
      </c>
      <c r="L38">
        <v>43926</v>
      </c>
      <c r="M38">
        <v>424178</v>
      </c>
      <c r="N38">
        <f t="shared" si="0"/>
        <v>337896</v>
      </c>
      <c r="O38">
        <f t="shared" si="1"/>
        <v>86282</v>
      </c>
      <c r="P38">
        <f t="shared" si="2"/>
        <v>0.20340988924460957</v>
      </c>
      <c r="Q38">
        <v>0</v>
      </c>
      <c r="R38">
        <v>0</v>
      </c>
      <c r="S38">
        <f t="shared" si="3"/>
        <v>0</v>
      </c>
      <c r="T38">
        <v>11</v>
      </c>
      <c r="U38">
        <v>3.64</v>
      </c>
      <c r="V38">
        <v>594794</v>
      </c>
      <c r="W38">
        <v>5806443</v>
      </c>
      <c r="X38">
        <f t="shared" si="4"/>
        <v>9.7621075532032933</v>
      </c>
      <c r="Y38" t="str">
        <f t="shared" si="5"/>
        <v>Weak Product</v>
      </c>
    </row>
    <row r="39" spans="1:25" x14ac:dyDescent="0.3">
      <c r="A39" t="s">
        <v>110</v>
      </c>
      <c r="B39" t="s">
        <v>111</v>
      </c>
      <c r="C39" t="s">
        <v>27</v>
      </c>
      <c r="D39" s="1">
        <v>44910</v>
      </c>
      <c r="E39">
        <v>837</v>
      </c>
      <c r="F39" t="s">
        <v>28</v>
      </c>
      <c r="G39">
        <v>18747</v>
      </c>
      <c r="H39">
        <v>8469</v>
      </c>
      <c r="I39">
        <v>34</v>
      </c>
      <c r="J39">
        <v>43</v>
      </c>
      <c r="K39">
        <v>806121</v>
      </c>
      <c r="L39">
        <v>122433</v>
      </c>
      <c r="M39">
        <v>683688</v>
      </c>
      <c r="N39">
        <f t="shared" si="0"/>
        <v>364167</v>
      </c>
      <c r="O39">
        <f t="shared" si="1"/>
        <v>319521</v>
      </c>
      <c r="P39">
        <f t="shared" si="2"/>
        <v>0.46734914171376418</v>
      </c>
      <c r="Q39">
        <v>5</v>
      </c>
      <c r="R39">
        <v>84360</v>
      </c>
      <c r="S39">
        <f t="shared" si="3"/>
        <v>0.14705882352941177</v>
      </c>
      <c r="T39">
        <v>13</v>
      </c>
      <c r="U39">
        <v>4.42</v>
      </c>
      <c r="V39">
        <v>670198</v>
      </c>
      <c r="W39">
        <v>14897473</v>
      </c>
      <c r="X39">
        <f t="shared" si="4"/>
        <v>22.228465319204176</v>
      </c>
      <c r="Y39" t="str">
        <f t="shared" si="5"/>
        <v>Weak Product</v>
      </c>
    </row>
    <row r="40" spans="1:25" x14ac:dyDescent="0.3">
      <c r="A40" t="s">
        <v>112</v>
      </c>
      <c r="B40" t="s">
        <v>113</v>
      </c>
      <c r="C40" t="s">
        <v>27</v>
      </c>
      <c r="D40" s="1">
        <v>45283</v>
      </c>
      <c r="E40">
        <v>464</v>
      </c>
      <c r="F40" t="s">
        <v>28</v>
      </c>
      <c r="G40">
        <v>12407</v>
      </c>
      <c r="H40">
        <v>9575</v>
      </c>
      <c r="I40">
        <v>27</v>
      </c>
      <c r="J40">
        <v>42</v>
      </c>
      <c r="K40">
        <v>521094</v>
      </c>
      <c r="L40">
        <v>77864</v>
      </c>
      <c r="M40">
        <v>443230</v>
      </c>
      <c r="N40">
        <f t="shared" si="0"/>
        <v>402150</v>
      </c>
      <c r="O40">
        <f t="shared" si="1"/>
        <v>41080</v>
      </c>
      <c r="P40">
        <f t="shared" si="2"/>
        <v>9.2683256999751829E-2</v>
      </c>
      <c r="Q40">
        <v>1</v>
      </c>
      <c r="R40">
        <v>11166</v>
      </c>
      <c r="S40">
        <f t="shared" si="3"/>
        <v>3.7037037037037035E-2</v>
      </c>
      <c r="T40">
        <v>12</v>
      </c>
      <c r="U40">
        <v>3.08</v>
      </c>
      <c r="V40">
        <v>79443</v>
      </c>
      <c r="W40">
        <v>3546822</v>
      </c>
      <c r="X40">
        <f t="shared" si="4"/>
        <v>44.646123635814355</v>
      </c>
      <c r="Y40" t="str">
        <f t="shared" si="5"/>
        <v>Weak Product</v>
      </c>
    </row>
    <row r="41" spans="1:25" x14ac:dyDescent="0.3">
      <c r="A41" t="s">
        <v>114</v>
      </c>
      <c r="B41" t="s">
        <v>115</v>
      </c>
      <c r="C41" t="s">
        <v>27</v>
      </c>
      <c r="D41" s="1">
        <v>44941</v>
      </c>
      <c r="E41">
        <v>806</v>
      </c>
      <c r="F41" t="s">
        <v>28</v>
      </c>
      <c r="G41">
        <v>10109</v>
      </c>
      <c r="H41">
        <v>4859</v>
      </c>
      <c r="I41">
        <v>63</v>
      </c>
      <c r="J41">
        <v>91</v>
      </c>
      <c r="K41">
        <v>919919</v>
      </c>
      <c r="L41">
        <v>163771</v>
      </c>
      <c r="M41">
        <v>756148</v>
      </c>
      <c r="N41">
        <f t="shared" si="0"/>
        <v>442169</v>
      </c>
      <c r="O41">
        <f t="shared" si="1"/>
        <v>313979</v>
      </c>
      <c r="P41">
        <f t="shared" si="2"/>
        <v>0.41523484820431977</v>
      </c>
      <c r="Q41">
        <v>3</v>
      </c>
      <c r="R41">
        <v>27294</v>
      </c>
      <c r="S41">
        <f t="shared" si="3"/>
        <v>4.7619047619047616E-2</v>
      </c>
      <c r="T41">
        <v>26</v>
      </c>
      <c r="U41">
        <v>4.63</v>
      </c>
      <c r="V41">
        <v>106956</v>
      </c>
      <c r="W41">
        <v>2722950</v>
      </c>
      <c r="X41">
        <f t="shared" si="4"/>
        <v>25.458599798047796</v>
      </c>
      <c r="Y41" t="str">
        <f t="shared" si="5"/>
        <v>Star</v>
      </c>
    </row>
    <row r="42" spans="1:25" x14ac:dyDescent="0.3">
      <c r="A42" t="s">
        <v>116</v>
      </c>
      <c r="B42" t="s">
        <v>117</v>
      </c>
      <c r="C42" t="s">
        <v>27</v>
      </c>
      <c r="D42" s="1">
        <v>45050</v>
      </c>
      <c r="E42">
        <v>697</v>
      </c>
      <c r="F42" t="s">
        <v>28</v>
      </c>
      <c r="G42">
        <v>9223</v>
      </c>
      <c r="H42">
        <v>7131</v>
      </c>
      <c r="I42">
        <v>115</v>
      </c>
      <c r="J42">
        <v>172</v>
      </c>
      <c r="K42">
        <v>1586356</v>
      </c>
      <c r="L42">
        <v>256124</v>
      </c>
      <c r="M42">
        <v>1330232</v>
      </c>
      <c r="N42">
        <f t="shared" si="0"/>
        <v>1226532</v>
      </c>
      <c r="O42">
        <f t="shared" si="1"/>
        <v>103700</v>
      </c>
      <c r="P42">
        <f t="shared" si="2"/>
        <v>7.7956326415241847E-2</v>
      </c>
      <c r="Q42">
        <v>3</v>
      </c>
      <c r="R42">
        <v>24900</v>
      </c>
      <c r="S42">
        <f t="shared" si="3"/>
        <v>2.6086956521739129E-2</v>
      </c>
      <c r="T42">
        <v>55</v>
      </c>
      <c r="U42">
        <v>3.46</v>
      </c>
      <c r="V42">
        <v>300199</v>
      </c>
      <c r="W42">
        <v>3794887</v>
      </c>
      <c r="X42">
        <f t="shared" si="4"/>
        <v>12.641237978807391</v>
      </c>
      <c r="Y42" t="str">
        <f t="shared" si="5"/>
        <v>Weak Product</v>
      </c>
    </row>
    <row r="43" spans="1:25" x14ac:dyDescent="0.3">
      <c r="A43" t="s">
        <v>118</v>
      </c>
      <c r="B43" t="s">
        <v>119</v>
      </c>
      <c r="C43" t="s">
        <v>27</v>
      </c>
      <c r="D43" s="1">
        <v>45268</v>
      </c>
      <c r="E43">
        <v>479</v>
      </c>
      <c r="F43" t="s">
        <v>28</v>
      </c>
      <c r="G43">
        <v>1963</v>
      </c>
      <c r="H43">
        <v>1685</v>
      </c>
      <c r="I43">
        <v>189</v>
      </c>
      <c r="J43">
        <v>282</v>
      </c>
      <c r="K43">
        <v>553566</v>
      </c>
      <c r="L43">
        <v>75289</v>
      </c>
      <c r="M43">
        <v>478277</v>
      </c>
      <c r="N43">
        <f t="shared" si="0"/>
        <v>475170</v>
      </c>
      <c r="O43">
        <f t="shared" si="1"/>
        <v>3107</v>
      </c>
      <c r="P43">
        <f t="shared" si="2"/>
        <v>6.4962354451499867E-3</v>
      </c>
      <c r="Q43">
        <v>6</v>
      </c>
      <c r="R43">
        <v>10596</v>
      </c>
      <c r="S43">
        <f t="shared" si="3"/>
        <v>3.1746031746031744E-2</v>
      </c>
      <c r="T43">
        <v>72</v>
      </c>
      <c r="U43">
        <v>2.98</v>
      </c>
      <c r="V43">
        <v>235016</v>
      </c>
      <c r="W43">
        <v>584989</v>
      </c>
      <c r="X43">
        <f t="shared" si="4"/>
        <v>2.4891454198863054</v>
      </c>
      <c r="Y43" t="str">
        <f t="shared" si="5"/>
        <v>Weak Product</v>
      </c>
    </row>
    <row r="44" spans="1:25" x14ac:dyDescent="0.3">
      <c r="A44" t="s">
        <v>120</v>
      </c>
      <c r="B44" t="s">
        <v>121</v>
      </c>
      <c r="C44" t="s">
        <v>27</v>
      </c>
      <c r="D44" s="1">
        <v>45399</v>
      </c>
      <c r="E44">
        <v>348</v>
      </c>
      <c r="F44" t="s">
        <v>28</v>
      </c>
      <c r="G44">
        <v>5593</v>
      </c>
      <c r="H44">
        <v>3168</v>
      </c>
      <c r="I44">
        <v>66</v>
      </c>
      <c r="J44">
        <v>95</v>
      </c>
      <c r="K44">
        <v>531335</v>
      </c>
      <c r="L44">
        <v>86316</v>
      </c>
      <c r="M44">
        <v>445019</v>
      </c>
      <c r="N44">
        <f t="shared" si="0"/>
        <v>300960</v>
      </c>
      <c r="O44">
        <f t="shared" si="1"/>
        <v>144059</v>
      </c>
      <c r="P44">
        <f t="shared" si="2"/>
        <v>0.32371426837955236</v>
      </c>
      <c r="Q44">
        <v>5</v>
      </c>
      <c r="R44">
        <v>25165</v>
      </c>
      <c r="S44">
        <f t="shared" si="3"/>
        <v>7.575757575757576E-2</v>
      </c>
      <c r="T44">
        <v>27</v>
      </c>
      <c r="U44">
        <v>4.0199999999999996</v>
      </c>
      <c r="V44">
        <v>254929</v>
      </c>
      <c r="W44">
        <v>1736394</v>
      </c>
      <c r="X44">
        <f t="shared" si="4"/>
        <v>6.8112847106449248</v>
      </c>
      <c r="Y44" t="str">
        <f t="shared" si="5"/>
        <v>Weak Product</v>
      </c>
    </row>
    <row r="45" spans="1:25" x14ac:dyDescent="0.3">
      <c r="A45" t="s">
        <v>122</v>
      </c>
      <c r="B45" t="s">
        <v>123</v>
      </c>
      <c r="C45" t="s">
        <v>27</v>
      </c>
      <c r="D45" s="1">
        <v>45431</v>
      </c>
      <c r="E45">
        <v>316</v>
      </c>
      <c r="F45" t="s">
        <v>28</v>
      </c>
      <c r="G45">
        <v>1479</v>
      </c>
      <c r="H45">
        <v>775</v>
      </c>
      <c r="I45">
        <v>106</v>
      </c>
      <c r="J45">
        <v>149</v>
      </c>
      <c r="K45">
        <v>220371</v>
      </c>
      <c r="L45">
        <v>24506</v>
      </c>
      <c r="M45">
        <v>195865</v>
      </c>
      <c r="N45">
        <f t="shared" si="0"/>
        <v>115475</v>
      </c>
      <c r="O45">
        <f t="shared" si="1"/>
        <v>80390</v>
      </c>
      <c r="P45">
        <f t="shared" si="2"/>
        <v>0.41043575932402421</v>
      </c>
      <c r="Q45">
        <v>15</v>
      </c>
      <c r="R45">
        <v>19965</v>
      </c>
      <c r="S45">
        <f t="shared" si="3"/>
        <v>0.14150943396226415</v>
      </c>
      <c r="T45">
        <v>49</v>
      </c>
      <c r="U45">
        <v>4.32</v>
      </c>
      <c r="V45">
        <v>284032</v>
      </c>
      <c r="W45">
        <v>543204</v>
      </c>
      <c r="X45">
        <f t="shared" si="4"/>
        <v>1.9124746507435781</v>
      </c>
      <c r="Y45" t="str">
        <f t="shared" si="5"/>
        <v>Weak Product</v>
      </c>
    </row>
    <row r="46" spans="1:25" x14ac:dyDescent="0.3">
      <c r="A46" t="s">
        <v>124</v>
      </c>
      <c r="B46" t="s">
        <v>125</v>
      </c>
      <c r="C46" t="s">
        <v>27</v>
      </c>
      <c r="D46" s="1">
        <v>45197</v>
      </c>
      <c r="E46">
        <v>550</v>
      </c>
      <c r="F46" t="s">
        <v>28</v>
      </c>
      <c r="G46">
        <v>8475</v>
      </c>
      <c r="H46">
        <v>5083</v>
      </c>
      <c r="I46">
        <v>89</v>
      </c>
      <c r="J46">
        <v>135</v>
      </c>
      <c r="K46">
        <v>1144125</v>
      </c>
      <c r="L46">
        <v>185216</v>
      </c>
      <c r="M46">
        <v>958909</v>
      </c>
      <c r="N46">
        <f t="shared" si="0"/>
        <v>686205</v>
      </c>
      <c r="O46">
        <f t="shared" si="1"/>
        <v>272704</v>
      </c>
      <c r="P46">
        <f t="shared" si="2"/>
        <v>0.28438986389740839</v>
      </c>
      <c r="Q46">
        <v>3</v>
      </c>
      <c r="R46">
        <v>22881</v>
      </c>
      <c r="S46">
        <f t="shared" si="3"/>
        <v>3.3707865168539325E-2</v>
      </c>
      <c r="T46">
        <v>35</v>
      </c>
      <c r="U46">
        <v>4.03</v>
      </c>
      <c r="V46">
        <v>719812</v>
      </c>
      <c r="W46">
        <v>7549369</v>
      </c>
      <c r="X46">
        <f t="shared" si="4"/>
        <v>10.48797324857046</v>
      </c>
      <c r="Y46" t="str">
        <f t="shared" si="5"/>
        <v>Star</v>
      </c>
    </row>
    <row r="47" spans="1:25" x14ac:dyDescent="0.3">
      <c r="A47" t="s">
        <v>126</v>
      </c>
      <c r="B47" t="s">
        <v>127</v>
      </c>
      <c r="C47" t="s">
        <v>27</v>
      </c>
      <c r="D47" s="1">
        <v>45016</v>
      </c>
      <c r="E47">
        <v>731</v>
      </c>
      <c r="F47" t="s">
        <v>28</v>
      </c>
      <c r="G47">
        <v>5623</v>
      </c>
      <c r="H47">
        <v>2590</v>
      </c>
      <c r="I47">
        <v>88</v>
      </c>
      <c r="J47">
        <v>129</v>
      </c>
      <c r="K47">
        <v>725367</v>
      </c>
      <c r="L47">
        <v>117108</v>
      </c>
      <c r="M47">
        <v>608259</v>
      </c>
      <c r="N47">
        <f t="shared" si="0"/>
        <v>334110</v>
      </c>
      <c r="O47">
        <f t="shared" si="1"/>
        <v>274149</v>
      </c>
      <c r="P47">
        <f t="shared" si="2"/>
        <v>0.45071096358623547</v>
      </c>
      <c r="Q47">
        <v>1</v>
      </c>
      <c r="R47">
        <v>5060</v>
      </c>
      <c r="S47">
        <f t="shared" si="3"/>
        <v>1.1363636363636364E-2</v>
      </c>
      <c r="T47">
        <v>29</v>
      </c>
      <c r="U47">
        <v>4.53</v>
      </c>
      <c r="V47">
        <v>408493</v>
      </c>
      <c r="W47">
        <v>2902686</v>
      </c>
      <c r="X47">
        <f t="shared" si="4"/>
        <v>7.1058402469564959</v>
      </c>
      <c r="Y47" t="str">
        <f t="shared" si="5"/>
        <v>Star</v>
      </c>
    </row>
    <row r="48" spans="1:25" x14ac:dyDescent="0.3">
      <c r="A48" t="s">
        <v>128</v>
      </c>
      <c r="B48" t="s">
        <v>129</v>
      </c>
      <c r="C48" t="s">
        <v>27</v>
      </c>
      <c r="D48" s="1">
        <v>45641</v>
      </c>
      <c r="E48">
        <v>106</v>
      </c>
      <c r="F48" t="s">
        <v>28</v>
      </c>
      <c r="G48">
        <v>8430</v>
      </c>
      <c r="H48">
        <v>6574</v>
      </c>
      <c r="I48">
        <v>78</v>
      </c>
      <c r="J48">
        <v>116</v>
      </c>
      <c r="K48">
        <v>977880</v>
      </c>
      <c r="L48">
        <v>121540</v>
      </c>
      <c r="M48">
        <v>856340</v>
      </c>
      <c r="N48">
        <f t="shared" si="0"/>
        <v>762584</v>
      </c>
      <c r="O48">
        <f t="shared" si="1"/>
        <v>93756</v>
      </c>
      <c r="P48">
        <f t="shared" si="2"/>
        <v>0.10948455052899549</v>
      </c>
      <c r="Q48">
        <v>3</v>
      </c>
      <c r="R48">
        <v>22761</v>
      </c>
      <c r="S48">
        <f t="shared" si="3"/>
        <v>3.8461538461538464E-2</v>
      </c>
      <c r="T48">
        <v>27</v>
      </c>
      <c r="U48">
        <v>3.52</v>
      </c>
      <c r="V48">
        <v>112768</v>
      </c>
      <c r="W48">
        <v>893545</v>
      </c>
      <c r="X48">
        <f t="shared" si="4"/>
        <v>7.9237460981838819</v>
      </c>
      <c r="Y48" t="str">
        <f t="shared" si="5"/>
        <v>Weak Product</v>
      </c>
    </row>
    <row r="49" spans="1:25" x14ac:dyDescent="0.3">
      <c r="A49" t="s">
        <v>130</v>
      </c>
      <c r="B49" t="s">
        <v>131</v>
      </c>
      <c r="C49" t="s">
        <v>27</v>
      </c>
      <c r="D49" s="1">
        <v>45649</v>
      </c>
      <c r="E49">
        <v>98</v>
      </c>
      <c r="F49" t="s">
        <v>28</v>
      </c>
      <c r="G49">
        <v>11756</v>
      </c>
      <c r="H49">
        <v>8965</v>
      </c>
      <c r="I49">
        <v>63</v>
      </c>
      <c r="J49">
        <v>95</v>
      </c>
      <c r="K49">
        <v>1116820</v>
      </c>
      <c r="L49">
        <v>220562</v>
      </c>
      <c r="M49">
        <v>896258</v>
      </c>
      <c r="N49">
        <f t="shared" si="0"/>
        <v>851675</v>
      </c>
      <c r="O49">
        <f t="shared" si="1"/>
        <v>44583</v>
      </c>
      <c r="P49">
        <f t="shared" si="2"/>
        <v>4.9743489039986252E-2</v>
      </c>
      <c r="Q49">
        <v>4</v>
      </c>
      <c r="R49">
        <v>42320</v>
      </c>
      <c r="S49">
        <f t="shared" si="3"/>
        <v>6.3492063492063489E-2</v>
      </c>
      <c r="T49">
        <v>26</v>
      </c>
      <c r="U49">
        <v>3.77</v>
      </c>
      <c r="V49">
        <v>54055</v>
      </c>
      <c r="W49">
        <v>716872</v>
      </c>
      <c r="X49">
        <f t="shared" si="4"/>
        <v>13.261899916751457</v>
      </c>
      <c r="Y49" t="str">
        <f t="shared" si="5"/>
        <v>Weak Product</v>
      </c>
    </row>
    <row r="50" spans="1:25" x14ac:dyDescent="0.3">
      <c r="A50" t="s">
        <v>132</v>
      </c>
      <c r="B50" t="s">
        <v>133</v>
      </c>
      <c r="C50" t="s">
        <v>27</v>
      </c>
      <c r="D50" s="1">
        <v>45356</v>
      </c>
      <c r="E50">
        <v>391</v>
      </c>
      <c r="F50" t="s">
        <v>28</v>
      </c>
      <c r="G50">
        <v>9445</v>
      </c>
      <c r="H50">
        <v>7008</v>
      </c>
      <c r="I50">
        <v>71</v>
      </c>
      <c r="J50">
        <v>107</v>
      </c>
      <c r="K50">
        <v>1010615</v>
      </c>
      <c r="L50">
        <v>193223</v>
      </c>
      <c r="M50">
        <v>817392</v>
      </c>
      <c r="N50">
        <f t="shared" si="0"/>
        <v>749856</v>
      </c>
      <c r="O50">
        <f t="shared" si="1"/>
        <v>67536</v>
      </c>
      <c r="P50">
        <f t="shared" si="2"/>
        <v>8.2623759469140884E-2</v>
      </c>
      <c r="Q50">
        <v>1</v>
      </c>
      <c r="R50">
        <v>8500</v>
      </c>
      <c r="S50">
        <f t="shared" si="3"/>
        <v>1.4084507042253521E-2</v>
      </c>
      <c r="T50">
        <v>19</v>
      </c>
      <c r="U50">
        <v>3.37</v>
      </c>
      <c r="V50">
        <v>414632</v>
      </c>
      <c r="W50">
        <v>6278239</v>
      </c>
      <c r="X50">
        <f t="shared" si="4"/>
        <v>15.141713615929307</v>
      </c>
      <c r="Y50" t="str">
        <f t="shared" si="5"/>
        <v>Weak Product</v>
      </c>
    </row>
    <row r="51" spans="1:25" x14ac:dyDescent="0.3">
      <c r="A51" t="s">
        <v>134</v>
      </c>
      <c r="B51" t="s">
        <v>135</v>
      </c>
      <c r="C51" t="s">
        <v>27</v>
      </c>
      <c r="D51" s="1">
        <v>45106</v>
      </c>
      <c r="E51">
        <v>641</v>
      </c>
      <c r="F51" t="s">
        <v>28</v>
      </c>
      <c r="G51">
        <v>6150</v>
      </c>
      <c r="H51">
        <v>3928</v>
      </c>
      <c r="I51">
        <v>139</v>
      </c>
      <c r="J51">
        <v>204</v>
      </c>
      <c r="K51">
        <v>1254600</v>
      </c>
      <c r="L51">
        <v>189746</v>
      </c>
      <c r="M51">
        <v>1064854</v>
      </c>
      <c r="N51">
        <f t="shared" si="0"/>
        <v>801312</v>
      </c>
      <c r="O51">
        <f t="shared" si="1"/>
        <v>263542</v>
      </c>
      <c r="P51">
        <f t="shared" si="2"/>
        <v>0.24749120536712074</v>
      </c>
      <c r="Q51">
        <v>11</v>
      </c>
      <c r="R51">
        <v>60885</v>
      </c>
      <c r="S51">
        <f t="shared" si="3"/>
        <v>7.9136690647482008E-2</v>
      </c>
      <c r="T51">
        <v>51</v>
      </c>
      <c r="U51">
        <v>3.87</v>
      </c>
      <c r="V51">
        <v>234898</v>
      </c>
      <c r="W51">
        <v>2308074</v>
      </c>
      <c r="X51">
        <f t="shared" si="4"/>
        <v>9.8258563291300902</v>
      </c>
      <c r="Y51" t="str">
        <f t="shared" si="5"/>
        <v>Weak Product</v>
      </c>
    </row>
    <row r="52" spans="1:25" x14ac:dyDescent="0.3">
      <c r="A52" t="s">
        <v>136</v>
      </c>
      <c r="B52" t="s">
        <v>137</v>
      </c>
      <c r="C52" t="s">
        <v>27</v>
      </c>
      <c r="D52" s="1">
        <v>45425</v>
      </c>
      <c r="E52">
        <v>322</v>
      </c>
      <c r="F52" t="s">
        <v>28</v>
      </c>
      <c r="G52">
        <v>4088</v>
      </c>
      <c r="H52">
        <v>2970</v>
      </c>
      <c r="I52">
        <v>64</v>
      </c>
      <c r="J52">
        <v>95</v>
      </c>
      <c r="K52">
        <v>388360</v>
      </c>
      <c r="L52">
        <v>56328</v>
      </c>
      <c r="M52">
        <v>332032</v>
      </c>
      <c r="N52">
        <f t="shared" si="0"/>
        <v>282150</v>
      </c>
      <c r="O52">
        <f t="shared" si="1"/>
        <v>49882</v>
      </c>
      <c r="P52">
        <f t="shared" si="2"/>
        <v>0.15023250771010024</v>
      </c>
      <c r="Q52">
        <v>4</v>
      </c>
      <c r="R52">
        <v>14716</v>
      </c>
      <c r="S52">
        <f t="shared" si="3"/>
        <v>6.25E-2</v>
      </c>
      <c r="T52">
        <v>22</v>
      </c>
      <c r="U52">
        <v>3.66</v>
      </c>
      <c r="V52">
        <v>126713</v>
      </c>
      <c r="W52">
        <v>644806</v>
      </c>
      <c r="X52">
        <f t="shared" si="4"/>
        <v>5.0887122868213996</v>
      </c>
      <c r="Y52" t="str">
        <f t="shared" si="5"/>
        <v>Weak Product</v>
      </c>
    </row>
    <row r="53" spans="1:25" x14ac:dyDescent="0.3">
      <c r="A53" t="s">
        <v>138</v>
      </c>
      <c r="B53" t="s">
        <v>139</v>
      </c>
      <c r="C53" t="s">
        <v>27</v>
      </c>
      <c r="D53" s="1">
        <v>44906</v>
      </c>
      <c r="E53">
        <v>841</v>
      </c>
      <c r="F53" t="s">
        <v>28</v>
      </c>
      <c r="G53">
        <v>6755</v>
      </c>
      <c r="H53">
        <v>4972</v>
      </c>
      <c r="I53">
        <v>56</v>
      </c>
      <c r="J53">
        <v>87</v>
      </c>
      <c r="K53">
        <v>587685</v>
      </c>
      <c r="L53">
        <v>112996</v>
      </c>
      <c r="M53">
        <v>474689</v>
      </c>
      <c r="N53">
        <f t="shared" si="0"/>
        <v>432564</v>
      </c>
      <c r="O53">
        <f t="shared" si="1"/>
        <v>42125</v>
      </c>
      <c r="P53">
        <f t="shared" si="2"/>
        <v>8.874231338834479E-2</v>
      </c>
      <c r="Q53">
        <v>8</v>
      </c>
      <c r="R53">
        <v>48632</v>
      </c>
      <c r="S53">
        <f t="shared" si="3"/>
        <v>0.14285714285714285</v>
      </c>
      <c r="T53">
        <v>26</v>
      </c>
      <c r="U53">
        <v>3.58</v>
      </c>
      <c r="V53">
        <v>151905</v>
      </c>
      <c r="W53">
        <v>2047785</v>
      </c>
      <c r="X53">
        <f t="shared" si="4"/>
        <v>13.480695171324182</v>
      </c>
      <c r="Y53" t="str">
        <f t="shared" si="5"/>
        <v>Weak Product</v>
      </c>
    </row>
    <row r="54" spans="1:25" x14ac:dyDescent="0.3">
      <c r="A54" t="s">
        <v>140</v>
      </c>
      <c r="B54" t="s">
        <v>141</v>
      </c>
      <c r="C54" t="s">
        <v>27</v>
      </c>
      <c r="D54" s="1">
        <v>45253</v>
      </c>
      <c r="E54">
        <v>494</v>
      </c>
      <c r="F54" t="s">
        <v>28</v>
      </c>
      <c r="G54">
        <v>16916</v>
      </c>
      <c r="H54">
        <v>12870</v>
      </c>
      <c r="I54">
        <v>67</v>
      </c>
      <c r="J54">
        <v>102</v>
      </c>
      <c r="K54">
        <v>1725432</v>
      </c>
      <c r="L54">
        <v>348118</v>
      </c>
      <c r="M54">
        <v>1377314</v>
      </c>
      <c r="N54">
        <f t="shared" si="0"/>
        <v>1312740</v>
      </c>
      <c r="O54">
        <f t="shared" si="1"/>
        <v>64574</v>
      </c>
      <c r="P54">
        <f t="shared" si="2"/>
        <v>4.6884007568354057E-2</v>
      </c>
      <c r="Q54">
        <v>4</v>
      </c>
      <c r="R54">
        <v>60896</v>
      </c>
      <c r="S54">
        <f t="shared" si="3"/>
        <v>5.9701492537313432E-2</v>
      </c>
      <c r="T54">
        <v>26</v>
      </c>
      <c r="U54">
        <v>3.42</v>
      </c>
      <c r="V54">
        <v>148823</v>
      </c>
      <c r="W54">
        <v>2948386</v>
      </c>
      <c r="X54">
        <f t="shared" si="4"/>
        <v>19.811359803256217</v>
      </c>
      <c r="Y54" t="str">
        <f t="shared" si="5"/>
        <v>Weak Product</v>
      </c>
    </row>
    <row r="55" spans="1:25" x14ac:dyDescent="0.3">
      <c r="A55" t="s">
        <v>142</v>
      </c>
      <c r="B55" t="s">
        <v>143</v>
      </c>
      <c r="C55" t="s">
        <v>27</v>
      </c>
      <c r="D55" s="1">
        <v>45143</v>
      </c>
      <c r="E55">
        <v>604</v>
      </c>
      <c r="F55" t="s">
        <v>28</v>
      </c>
      <c r="G55">
        <v>6001</v>
      </c>
      <c r="H55">
        <v>3738</v>
      </c>
      <c r="I55">
        <v>100</v>
      </c>
      <c r="J55">
        <v>139</v>
      </c>
      <c r="K55">
        <v>834139</v>
      </c>
      <c r="L55">
        <v>108299</v>
      </c>
      <c r="M55">
        <v>725840</v>
      </c>
      <c r="N55">
        <f t="shared" si="0"/>
        <v>519582</v>
      </c>
      <c r="O55">
        <f t="shared" si="1"/>
        <v>206258</v>
      </c>
      <c r="P55">
        <f t="shared" si="2"/>
        <v>0.28416455417171826</v>
      </c>
      <c r="Q55">
        <v>2</v>
      </c>
      <c r="R55">
        <v>10800</v>
      </c>
      <c r="S55">
        <f t="shared" si="3"/>
        <v>0.02</v>
      </c>
      <c r="T55">
        <v>32</v>
      </c>
      <c r="U55">
        <v>4.03</v>
      </c>
      <c r="V55">
        <v>638833</v>
      </c>
      <c r="W55">
        <v>3136294</v>
      </c>
      <c r="X55">
        <f t="shared" si="4"/>
        <v>4.9094113798128776</v>
      </c>
      <c r="Y55" t="str">
        <f t="shared" si="5"/>
        <v>Star</v>
      </c>
    </row>
    <row r="56" spans="1:25" x14ac:dyDescent="0.3">
      <c r="A56" t="s">
        <v>144</v>
      </c>
      <c r="B56" t="s">
        <v>145</v>
      </c>
      <c r="C56" t="s">
        <v>27</v>
      </c>
      <c r="D56" s="1">
        <v>45287</v>
      </c>
      <c r="E56">
        <v>460</v>
      </c>
      <c r="F56" t="s">
        <v>28</v>
      </c>
      <c r="G56">
        <v>10858</v>
      </c>
      <c r="H56">
        <v>7500</v>
      </c>
      <c r="I56">
        <v>112</v>
      </c>
      <c r="J56">
        <v>168</v>
      </c>
      <c r="K56">
        <v>1824144</v>
      </c>
      <c r="L56">
        <v>239526</v>
      </c>
      <c r="M56">
        <v>1584618</v>
      </c>
      <c r="N56">
        <f t="shared" si="0"/>
        <v>1260000</v>
      </c>
      <c r="O56">
        <f t="shared" si="1"/>
        <v>324618</v>
      </c>
      <c r="P56">
        <f t="shared" si="2"/>
        <v>0.20485568130615706</v>
      </c>
      <c r="Q56">
        <v>1</v>
      </c>
      <c r="R56">
        <v>9772</v>
      </c>
      <c r="S56">
        <f t="shared" si="3"/>
        <v>8.9285714285714281E-3</v>
      </c>
      <c r="T56">
        <v>43</v>
      </c>
      <c r="U56">
        <v>3.52</v>
      </c>
      <c r="V56">
        <v>598788</v>
      </c>
      <c r="W56">
        <v>5747478</v>
      </c>
      <c r="X56">
        <f t="shared" si="4"/>
        <v>9.5985190083969627</v>
      </c>
      <c r="Y56" t="str">
        <f t="shared" si="5"/>
        <v>Weak Product</v>
      </c>
    </row>
    <row r="57" spans="1:25" x14ac:dyDescent="0.3">
      <c r="A57" t="s">
        <v>146</v>
      </c>
      <c r="B57" t="s">
        <v>147</v>
      </c>
      <c r="C57" t="s">
        <v>27</v>
      </c>
      <c r="D57" s="1">
        <v>45483</v>
      </c>
      <c r="E57">
        <v>264</v>
      </c>
      <c r="F57" t="s">
        <v>28</v>
      </c>
      <c r="G57">
        <v>9598</v>
      </c>
      <c r="H57">
        <v>6411</v>
      </c>
      <c r="I57">
        <v>44</v>
      </c>
      <c r="J57">
        <v>68</v>
      </c>
      <c r="K57">
        <v>652664</v>
      </c>
      <c r="L57">
        <v>100543</v>
      </c>
      <c r="M57">
        <v>552121</v>
      </c>
      <c r="N57">
        <f t="shared" si="0"/>
        <v>435948</v>
      </c>
      <c r="O57">
        <f t="shared" si="1"/>
        <v>116173</v>
      </c>
      <c r="P57">
        <f t="shared" si="2"/>
        <v>0.21041221036693045</v>
      </c>
      <c r="Q57">
        <v>4</v>
      </c>
      <c r="R57">
        <v>34552</v>
      </c>
      <c r="S57">
        <f t="shared" si="3"/>
        <v>9.0909090909090912E-2</v>
      </c>
      <c r="T57">
        <v>23</v>
      </c>
      <c r="U57">
        <v>3.98</v>
      </c>
      <c r="V57">
        <v>364446</v>
      </c>
      <c r="W57">
        <v>4247170</v>
      </c>
      <c r="X57">
        <f t="shared" si="4"/>
        <v>11.653770380248377</v>
      </c>
      <c r="Y57" t="str">
        <f t="shared" si="5"/>
        <v>Weak Product</v>
      </c>
    </row>
    <row r="58" spans="1:25" x14ac:dyDescent="0.3">
      <c r="A58" t="s">
        <v>148</v>
      </c>
      <c r="B58" t="s">
        <v>149</v>
      </c>
      <c r="C58" t="s">
        <v>27</v>
      </c>
      <c r="D58" s="1">
        <v>44882</v>
      </c>
      <c r="E58">
        <v>865</v>
      </c>
      <c r="F58" t="s">
        <v>28</v>
      </c>
      <c r="G58">
        <v>6824</v>
      </c>
      <c r="H58">
        <v>5689</v>
      </c>
      <c r="I58">
        <v>94</v>
      </c>
      <c r="J58">
        <v>145</v>
      </c>
      <c r="K58">
        <v>989480</v>
      </c>
      <c r="L58">
        <v>105776</v>
      </c>
      <c r="M58">
        <v>883704</v>
      </c>
      <c r="N58">
        <f t="shared" si="0"/>
        <v>824905</v>
      </c>
      <c r="O58">
        <f t="shared" si="1"/>
        <v>58799</v>
      </c>
      <c r="P58">
        <f t="shared" si="2"/>
        <v>6.6536985234875029E-2</v>
      </c>
      <c r="Q58">
        <v>10</v>
      </c>
      <c r="R58">
        <v>61410</v>
      </c>
      <c r="S58">
        <f t="shared" si="3"/>
        <v>0.10638297872340426</v>
      </c>
      <c r="T58">
        <v>33</v>
      </c>
      <c r="U58">
        <v>3.41</v>
      </c>
      <c r="V58">
        <v>219988</v>
      </c>
      <c r="W58">
        <v>1815661</v>
      </c>
      <c r="X58">
        <f t="shared" si="4"/>
        <v>8.2534547338945767</v>
      </c>
      <c r="Y58" t="str">
        <f t="shared" si="5"/>
        <v>Weak Product</v>
      </c>
    </row>
    <row r="59" spans="1:25" x14ac:dyDescent="0.3">
      <c r="A59" t="s">
        <v>150</v>
      </c>
      <c r="B59" t="s">
        <v>151</v>
      </c>
      <c r="C59" t="s">
        <v>27</v>
      </c>
      <c r="D59" s="1">
        <v>45228</v>
      </c>
      <c r="E59">
        <v>519</v>
      </c>
      <c r="F59" t="s">
        <v>28</v>
      </c>
      <c r="G59">
        <v>6670</v>
      </c>
      <c r="H59">
        <v>3846</v>
      </c>
      <c r="I59">
        <v>133</v>
      </c>
      <c r="J59">
        <v>199</v>
      </c>
      <c r="K59">
        <v>1327330</v>
      </c>
      <c r="L59">
        <v>231391</v>
      </c>
      <c r="M59">
        <v>1095939</v>
      </c>
      <c r="N59">
        <f t="shared" si="0"/>
        <v>765354</v>
      </c>
      <c r="O59">
        <f t="shared" si="1"/>
        <v>330585</v>
      </c>
      <c r="P59">
        <f t="shared" si="2"/>
        <v>0.3016454382953796</v>
      </c>
      <c r="Q59">
        <v>20</v>
      </c>
      <c r="R59">
        <v>120060</v>
      </c>
      <c r="S59">
        <f t="shared" si="3"/>
        <v>0.15037593984962405</v>
      </c>
      <c r="T59">
        <v>46</v>
      </c>
      <c r="U59">
        <v>4.22</v>
      </c>
      <c r="V59">
        <v>467089</v>
      </c>
      <c r="W59">
        <v>2670351</v>
      </c>
      <c r="X59">
        <f t="shared" si="4"/>
        <v>5.7170068231107987</v>
      </c>
      <c r="Y59" t="str">
        <f t="shared" si="5"/>
        <v>Weak Product</v>
      </c>
    </row>
    <row r="60" spans="1:25" x14ac:dyDescent="0.3">
      <c r="A60" t="s">
        <v>152</v>
      </c>
      <c r="B60" t="s">
        <v>153</v>
      </c>
      <c r="C60" t="s">
        <v>27</v>
      </c>
      <c r="D60" s="1">
        <v>45547</v>
      </c>
      <c r="E60">
        <v>200</v>
      </c>
      <c r="F60" t="s">
        <v>28</v>
      </c>
      <c r="G60">
        <v>14230</v>
      </c>
      <c r="H60">
        <v>11405</v>
      </c>
      <c r="I60">
        <v>26</v>
      </c>
      <c r="J60">
        <v>39</v>
      </c>
      <c r="K60">
        <v>554970</v>
      </c>
      <c r="L60">
        <v>101257</v>
      </c>
      <c r="M60">
        <v>453713</v>
      </c>
      <c r="N60">
        <f t="shared" si="0"/>
        <v>444795</v>
      </c>
      <c r="O60">
        <f t="shared" si="1"/>
        <v>8918</v>
      </c>
      <c r="P60">
        <f t="shared" si="2"/>
        <v>1.9655597260823471E-2</v>
      </c>
      <c r="Q60">
        <v>0</v>
      </c>
      <c r="R60">
        <v>0</v>
      </c>
      <c r="S60">
        <f t="shared" si="3"/>
        <v>0</v>
      </c>
      <c r="T60">
        <v>11</v>
      </c>
      <c r="U60">
        <v>3.64</v>
      </c>
      <c r="V60">
        <v>540877</v>
      </c>
      <c r="W60">
        <v>8624298</v>
      </c>
      <c r="X60">
        <f t="shared" si="4"/>
        <v>15.945026318368132</v>
      </c>
      <c r="Y60" t="str">
        <f t="shared" si="5"/>
        <v>Weak Product</v>
      </c>
    </row>
    <row r="61" spans="1:25" x14ac:dyDescent="0.3">
      <c r="A61" t="s">
        <v>154</v>
      </c>
      <c r="B61" t="s">
        <v>155</v>
      </c>
      <c r="C61" t="s">
        <v>27</v>
      </c>
      <c r="D61" s="1">
        <v>45444</v>
      </c>
      <c r="E61">
        <v>303</v>
      </c>
      <c r="F61" t="s">
        <v>28</v>
      </c>
      <c r="G61">
        <v>17703</v>
      </c>
      <c r="H61">
        <v>8062</v>
      </c>
      <c r="I61">
        <v>56</v>
      </c>
      <c r="J61">
        <v>86</v>
      </c>
      <c r="K61">
        <v>1522458</v>
      </c>
      <c r="L61">
        <v>127484</v>
      </c>
      <c r="M61">
        <v>1394974</v>
      </c>
      <c r="N61">
        <f t="shared" si="0"/>
        <v>693332</v>
      </c>
      <c r="O61">
        <f t="shared" si="1"/>
        <v>701642</v>
      </c>
      <c r="P61">
        <f t="shared" si="2"/>
        <v>0.50297855013785198</v>
      </c>
      <c r="Q61">
        <v>7</v>
      </c>
      <c r="R61">
        <v>111524</v>
      </c>
      <c r="S61">
        <f t="shared" si="3"/>
        <v>0.125</v>
      </c>
      <c r="T61">
        <v>24</v>
      </c>
      <c r="U61">
        <v>4.4800000000000004</v>
      </c>
      <c r="V61">
        <v>406951</v>
      </c>
      <c r="W61">
        <v>8210978</v>
      </c>
      <c r="X61">
        <f t="shared" si="4"/>
        <v>20.176822270985941</v>
      </c>
      <c r="Y61" t="str">
        <f t="shared" si="5"/>
        <v>Weak Product</v>
      </c>
    </row>
    <row r="62" spans="1:25" x14ac:dyDescent="0.3">
      <c r="A62" t="s">
        <v>156</v>
      </c>
      <c r="B62" t="s">
        <v>157</v>
      </c>
      <c r="C62" t="s">
        <v>27</v>
      </c>
      <c r="D62" s="1">
        <v>44997</v>
      </c>
      <c r="E62">
        <v>750</v>
      </c>
      <c r="F62" t="s">
        <v>28</v>
      </c>
      <c r="G62">
        <v>18251</v>
      </c>
      <c r="H62">
        <v>12763</v>
      </c>
      <c r="I62">
        <v>76</v>
      </c>
      <c r="J62">
        <v>114</v>
      </c>
      <c r="K62">
        <v>2080614</v>
      </c>
      <c r="L62">
        <v>285077</v>
      </c>
      <c r="M62">
        <v>1795537</v>
      </c>
      <c r="N62">
        <f t="shared" si="0"/>
        <v>1454982</v>
      </c>
      <c r="O62">
        <f t="shared" si="1"/>
        <v>340555</v>
      </c>
      <c r="P62">
        <f t="shared" si="2"/>
        <v>0.18966749223212889</v>
      </c>
      <c r="Q62">
        <v>1</v>
      </c>
      <c r="R62">
        <v>16425</v>
      </c>
      <c r="S62">
        <f t="shared" si="3"/>
        <v>1.3157894736842105E-2</v>
      </c>
      <c r="T62">
        <v>33</v>
      </c>
      <c r="U62">
        <v>3.82</v>
      </c>
      <c r="V62">
        <v>218427</v>
      </c>
      <c r="W62">
        <v>6008308</v>
      </c>
      <c r="X62">
        <f t="shared" si="4"/>
        <v>27.507167154243753</v>
      </c>
      <c r="Y62" t="str">
        <f t="shared" si="5"/>
        <v>Weak Product</v>
      </c>
    </row>
    <row r="63" spans="1:25" x14ac:dyDescent="0.3">
      <c r="A63" t="s">
        <v>158</v>
      </c>
      <c r="B63" t="s">
        <v>159</v>
      </c>
      <c r="C63" t="s">
        <v>27</v>
      </c>
      <c r="D63" s="1">
        <v>45079</v>
      </c>
      <c r="E63">
        <v>668</v>
      </c>
      <c r="F63" t="s">
        <v>28</v>
      </c>
      <c r="G63">
        <v>17380</v>
      </c>
      <c r="H63">
        <v>11851</v>
      </c>
      <c r="I63">
        <v>51</v>
      </c>
      <c r="J63">
        <v>80</v>
      </c>
      <c r="K63">
        <v>1390400</v>
      </c>
      <c r="L63">
        <v>231568</v>
      </c>
      <c r="M63">
        <v>1158832</v>
      </c>
      <c r="N63">
        <f t="shared" si="0"/>
        <v>948080</v>
      </c>
      <c r="O63">
        <f t="shared" si="1"/>
        <v>210752</v>
      </c>
      <c r="P63">
        <f t="shared" si="2"/>
        <v>0.18186587874687615</v>
      </c>
      <c r="Q63">
        <v>0</v>
      </c>
      <c r="R63">
        <v>0</v>
      </c>
      <c r="S63">
        <f t="shared" si="3"/>
        <v>0</v>
      </c>
      <c r="T63">
        <v>19</v>
      </c>
      <c r="U63">
        <v>3.45</v>
      </c>
      <c r="V63">
        <v>575567</v>
      </c>
      <c r="W63">
        <v>10658910</v>
      </c>
      <c r="X63">
        <f t="shared" si="4"/>
        <v>18.518973464427251</v>
      </c>
      <c r="Y63" t="str">
        <f t="shared" si="5"/>
        <v>Weak Product</v>
      </c>
    </row>
    <row r="64" spans="1:25" x14ac:dyDescent="0.3">
      <c r="A64" t="s">
        <v>160</v>
      </c>
      <c r="B64" t="s">
        <v>161</v>
      </c>
      <c r="C64" t="s">
        <v>27</v>
      </c>
      <c r="D64" s="1">
        <v>45071</v>
      </c>
      <c r="E64">
        <v>676</v>
      </c>
      <c r="F64" t="s">
        <v>28</v>
      </c>
      <c r="G64">
        <v>2939</v>
      </c>
      <c r="H64">
        <v>2462</v>
      </c>
      <c r="I64">
        <v>117</v>
      </c>
      <c r="J64">
        <v>174</v>
      </c>
      <c r="K64">
        <v>511386</v>
      </c>
      <c r="L64">
        <v>54939</v>
      </c>
      <c r="M64">
        <v>456447</v>
      </c>
      <c r="N64">
        <f t="shared" si="0"/>
        <v>428388</v>
      </c>
      <c r="O64">
        <f t="shared" si="1"/>
        <v>28059</v>
      </c>
      <c r="P64">
        <f t="shared" si="2"/>
        <v>6.1472635377163173E-2</v>
      </c>
      <c r="Q64">
        <v>8</v>
      </c>
      <c r="R64">
        <v>21160</v>
      </c>
      <c r="S64">
        <f t="shared" si="3"/>
        <v>6.8376068376068383E-2</v>
      </c>
      <c r="T64">
        <v>57</v>
      </c>
      <c r="U64">
        <v>3.21</v>
      </c>
      <c r="V64">
        <v>215881</v>
      </c>
      <c r="W64">
        <v>885946</v>
      </c>
      <c r="X64">
        <f t="shared" si="4"/>
        <v>4.1038627762517317</v>
      </c>
      <c r="Y64" t="str">
        <f t="shared" si="5"/>
        <v>Weak Product</v>
      </c>
    </row>
    <row r="65" spans="1:25" x14ac:dyDescent="0.3">
      <c r="A65" t="s">
        <v>162</v>
      </c>
      <c r="B65" t="s">
        <v>163</v>
      </c>
      <c r="C65" t="s">
        <v>27</v>
      </c>
      <c r="D65" s="1">
        <v>45046</v>
      </c>
      <c r="E65">
        <v>701</v>
      </c>
      <c r="F65" t="s">
        <v>28</v>
      </c>
      <c r="G65">
        <v>15566</v>
      </c>
      <c r="H65">
        <v>11097</v>
      </c>
      <c r="I65">
        <v>51</v>
      </c>
      <c r="J65">
        <v>74</v>
      </c>
      <c r="K65">
        <v>1151884</v>
      </c>
      <c r="L65">
        <v>142822</v>
      </c>
      <c r="M65">
        <v>1009062</v>
      </c>
      <c r="N65">
        <f t="shared" si="0"/>
        <v>821178</v>
      </c>
      <c r="O65">
        <f t="shared" si="1"/>
        <v>187884</v>
      </c>
      <c r="P65">
        <f t="shared" si="2"/>
        <v>0.18619668563477765</v>
      </c>
      <c r="Q65">
        <v>2</v>
      </c>
      <c r="R65">
        <v>28018</v>
      </c>
      <c r="S65">
        <f t="shared" si="3"/>
        <v>3.9215686274509803E-2</v>
      </c>
      <c r="T65">
        <v>25</v>
      </c>
      <c r="U65">
        <v>3.74</v>
      </c>
      <c r="V65">
        <v>483714</v>
      </c>
      <c r="W65">
        <v>12315927</v>
      </c>
      <c r="X65">
        <f t="shared" si="4"/>
        <v>25.461175405301478</v>
      </c>
      <c r="Y65" t="str">
        <f t="shared" si="5"/>
        <v>Weak Product</v>
      </c>
    </row>
    <row r="66" spans="1:25" x14ac:dyDescent="0.3">
      <c r="A66" t="s">
        <v>164</v>
      </c>
      <c r="B66" t="s">
        <v>165</v>
      </c>
      <c r="C66" t="s">
        <v>27</v>
      </c>
      <c r="D66" s="1">
        <v>45195</v>
      </c>
      <c r="E66">
        <v>552</v>
      </c>
      <c r="F66" t="s">
        <v>28</v>
      </c>
      <c r="G66">
        <v>12763</v>
      </c>
      <c r="H66">
        <v>8747</v>
      </c>
      <c r="I66">
        <v>99</v>
      </c>
      <c r="J66">
        <v>148</v>
      </c>
      <c r="K66">
        <v>1888924</v>
      </c>
      <c r="L66">
        <v>233116</v>
      </c>
      <c r="M66">
        <v>1655808</v>
      </c>
      <c r="N66">
        <f t="shared" si="0"/>
        <v>1294556</v>
      </c>
      <c r="O66">
        <f t="shared" si="1"/>
        <v>361252</v>
      </c>
      <c r="P66">
        <f t="shared" si="2"/>
        <v>0.21817263837353124</v>
      </c>
      <c r="Q66">
        <v>6</v>
      </c>
      <c r="R66">
        <v>68916</v>
      </c>
      <c r="S66">
        <f t="shared" si="3"/>
        <v>6.0606060606060608E-2</v>
      </c>
      <c r="T66">
        <v>52</v>
      </c>
      <c r="U66">
        <v>3.51</v>
      </c>
      <c r="V66">
        <v>325530</v>
      </c>
      <c r="W66">
        <v>4233354</v>
      </c>
      <c r="X66">
        <f t="shared" si="4"/>
        <v>13.004497281356556</v>
      </c>
      <c r="Y66" t="str">
        <f t="shared" si="5"/>
        <v>Weak Product</v>
      </c>
    </row>
    <row r="67" spans="1:25" x14ac:dyDescent="0.3">
      <c r="A67" t="s">
        <v>166</v>
      </c>
      <c r="B67" t="s">
        <v>167</v>
      </c>
      <c r="C67" t="s">
        <v>27</v>
      </c>
      <c r="D67" s="1">
        <v>45114</v>
      </c>
      <c r="E67">
        <v>633</v>
      </c>
      <c r="F67" t="s">
        <v>28</v>
      </c>
      <c r="G67">
        <v>7525</v>
      </c>
      <c r="H67">
        <v>5119</v>
      </c>
      <c r="I67">
        <v>60</v>
      </c>
      <c r="J67">
        <v>87</v>
      </c>
      <c r="K67">
        <v>654675</v>
      </c>
      <c r="L67">
        <v>108557</v>
      </c>
      <c r="M67">
        <v>546118</v>
      </c>
      <c r="N67">
        <f t="shared" ref="N67:N130" si="6">J67*H67</f>
        <v>445353</v>
      </c>
      <c r="O67">
        <f t="shared" ref="O67:O130" si="7">M67-N67</f>
        <v>100765</v>
      </c>
      <c r="P67">
        <f t="shared" ref="P67:P130" si="8">IF(M67&gt;0, (M67-N67)/M67, 0)</f>
        <v>0.18451140595988413</v>
      </c>
      <c r="Q67">
        <v>5</v>
      </c>
      <c r="R67">
        <v>33860</v>
      </c>
      <c r="S67">
        <f t="shared" ref="S67:S130" si="9">IF(I67&gt;0, Q67/I67, 0)</f>
        <v>8.3333333333333329E-2</v>
      </c>
      <c r="T67">
        <v>24</v>
      </c>
      <c r="U67">
        <v>3.6</v>
      </c>
      <c r="V67">
        <v>508610</v>
      </c>
      <c r="W67">
        <v>5259334</v>
      </c>
      <c r="X67">
        <f t="shared" ref="X67:X130" si="10">IF(V67&gt;0, W67/V67, 0)</f>
        <v>10.340602819449087</v>
      </c>
      <c r="Y67" t="str">
        <f t="shared" ref="Y67:Y130" si="11">IF(E67&lt;=90, "Immature Product", IF(AND(O67&gt;0, U67&gt;=4, S67&lt;0.05), "Star", IF(AND(M67&gt;10000000, O67&lt;0), "Revenue Trap", IF(AND(O67&gt;0, U67&gt;=4, V67&lt;100000), "Hidden Opportunity", "Weak Product"))))</f>
        <v>Weak Product</v>
      </c>
    </row>
    <row r="68" spans="1:25" x14ac:dyDescent="0.3">
      <c r="A68" t="s">
        <v>168</v>
      </c>
      <c r="B68" t="s">
        <v>169</v>
      </c>
      <c r="C68" t="s">
        <v>27</v>
      </c>
      <c r="D68" s="1">
        <v>45472</v>
      </c>
      <c r="E68">
        <v>275</v>
      </c>
      <c r="F68" t="s">
        <v>28</v>
      </c>
      <c r="G68">
        <v>15614</v>
      </c>
      <c r="H68">
        <v>7591</v>
      </c>
      <c r="I68">
        <v>87</v>
      </c>
      <c r="J68">
        <v>129</v>
      </c>
      <c r="K68">
        <v>2014206</v>
      </c>
      <c r="L68">
        <v>361226</v>
      </c>
      <c r="M68">
        <v>1652980</v>
      </c>
      <c r="N68">
        <f t="shared" si="6"/>
        <v>979239</v>
      </c>
      <c r="O68">
        <f t="shared" si="7"/>
        <v>673741</v>
      </c>
      <c r="P68">
        <f t="shared" si="8"/>
        <v>0.40759174339677429</v>
      </c>
      <c r="Q68">
        <v>12</v>
      </c>
      <c r="R68">
        <v>168624</v>
      </c>
      <c r="S68">
        <f t="shared" si="9"/>
        <v>0.13793103448275862</v>
      </c>
      <c r="T68">
        <v>33</v>
      </c>
      <c r="U68">
        <v>4.2300000000000004</v>
      </c>
      <c r="V68">
        <v>481228</v>
      </c>
      <c r="W68">
        <v>6663777</v>
      </c>
      <c r="X68">
        <f t="shared" si="10"/>
        <v>13.847442376586566</v>
      </c>
      <c r="Y68" t="str">
        <f t="shared" si="11"/>
        <v>Weak Product</v>
      </c>
    </row>
    <row r="69" spans="1:25" x14ac:dyDescent="0.3">
      <c r="A69" t="s">
        <v>170</v>
      </c>
      <c r="B69" t="s">
        <v>171</v>
      </c>
      <c r="C69" t="s">
        <v>27</v>
      </c>
      <c r="D69" s="1">
        <v>45021</v>
      </c>
      <c r="E69">
        <v>726</v>
      </c>
      <c r="F69" t="s">
        <v>28</v>
      </c>
      <c r="G69">
        <v>4745</v>
      </c>
      <c r="H69">
        <v>2419</v>
      </c>
      <c r="I69">
        <v>160</v>
      </c>
      <c r="J69">
        <v>234</v>
      </c>
      <c r="K69">
        <v>1110330</v>
      </c>
      <c r="L69">
        <v>186193</v>
      </c>
      <c r="M69">
        <v>924137</v>
      </c>
      <c r="N69">
        <f t="shared" si="6"/>
        <v>566046</v>
      </c>
      <c r="O69">
        <f t="shared" si="7"/>
        <v>358091</v>
      </c>
      <c r="P69">
        <f t="shared" si="8"/>
        <v>0.38748692022935993</v>
      </c>
      <c r="Q69">
        <v>22</v>
      </c>
      <c r="R69">
        <v>93940</v>
      </c>
      <c r="S69">
        <f t="shared" si="9"/>
        <v>0.13750000000000001</v>
      </c>
      <c r="T69">
        <v>66</v>
      </c>
      <c r="U69">
        <v>4.41</v>
      </c>
      <c r="V69">
        <v>271745</v>
      </c>
      <c r="W69">
        <v>1407533</v>
      </c>
      <c r="X69">
        <f t="shared" si="10"/>
        <v>5.1796095604334944</v>
      </c>
      <c r="Y69" t="str">
        <f t="shared" si="11"/>
        <v>Weak Product</v>
      </c>
    </row>
    <row r="70" spans="1:25" x14ac:dyDescent="0.3">
      <c r="A70" t="s">
        <v>172</v>
      </c>
      <c r="B70" t="s">
        <v>173</v>
      </c>
      <c r="C70" t="s">
        <v>27</v>
      </c>
      <c r="D70" s="1">
        <v>45266</v>
      </c>
      <c r="E70">
        <v>481</v>
      </c>
      <c r="F70" t="s">
        <v>28</v>
      </c>
      <c r="G70">
        <v>9416</v>
      </c>
      <c r="H70">
        <v>5287</v>
      </c>
      <c r="I70">
        <v>96</v>
      </c>
      <c r="J70">
        <v>140</v>
      </c>
      <c r="K70">
        <v>1318240</v>
      </c>
      <c r="L70">
        <v>140975</v>
      </c>
      <c r="M70">
        <v>1177265</v>
      </c>
      <c r="N70">
        <f t="shared" si="6"/>
        <v>740180</v>
      </c>
      <c r="O70">
        <f t="shared" si="7"/>
        <v>437085</v>
      </c>
      <c r="P70">
        <f t="shared" si="8"/>
        <v>0.37127154888661429</v>
      </c>
      <c r="Q70">
        <v>5</v>
      </c>
      <c r="R70">
        <v>42370</v>
      </c>
      <c r="S70">
        <f t="shared" si="9"/>
        <v>5.2083333333333336E-2</v>
      </c>
      <c r="T70">
        <v>36</v>
      </c>
      <c r="U70">
        <v>4.28</v>
      </c>
      <c r="V70">
        <v>317091</v>
      </c>
      <c r="W70">
        <v>3821819</v>
      </c>
      <c r="X70">
        <f t="shared" si="10"/>
        <v>12.052751418362552</v>
      </c>
      <c r="Y70" t="str">
        <f t="shared" si="11"/>
        <v>Weak Product</v>
      </c>
    </row>
    <row r="71" spans="1:25" x14ac:dyDescent="0.3">
      <c r="A71" t="s">
        <v>174</v>
      </c>
      <c r="B71" t="s">
        <v>175</v>
      </c>
      <c r="C71" t="s">
        <v>27</v>
      </c>
      <c r="D71" s="1">
        <v>45634</v>
      </c>
      <c r="E71">
        <v>113</v>
      </c>
      <c r="F71" t="s">
        <v>28</v>
      </c>
      <c r="G71">
        <v>7646</v>
      </c>
      <c r="H71">
        <v>4644</v>
      </c>
      <c r="I71">
        <v>67</v>
      </c>
      <c r="J71">
        <v>103</v>
      </c>
      <c r="K71">
        <v>787538</v>
      </c>
      <c r="L71">
        <v>87697</v>
      </c>
      <c r="M71">
        <v>699841</v>
      </c>
      <c r="N71">
        <f t="shared" si="6"/>
        <v>478332</v>
      </c>
      <c r="O71">
        <f t="shared" si="7"/>
        <v>221509</v>
      </c>
      <c r="P71">
        <f t="shared" si="8"/>
        <v>0.31651332231178225</v>
      </c>
      <c r="Q71">
        <v>4</v>
      </c>
      <c r="R71">
        <v>27524</v>
      </c>
      <c r="S71">
        <f t="shared" si="9"/>
        <v>5.9701492537313432E-2</v>
      </c>
      <c r="T71">
        <v>26</v>
      </c>
      <c r="U71">
        <v>4.12</v>
      </c>
      <c r="V71">
        <v>56148</v>
      </c>
      <c r="W71">
        <v>750470</v>
      </c>
      <c r="X71">
        <f t="shared" si="10"/>
        <v>13.365925767614163</v>
      </c>
      <c r="Y71" t="str">
        <f t="shared" si="11"/>
        <v>Hidden Opportunity</v>
      </c>
    </row>
    <row r="72" spans="1:25" x14ac:dyDescent="0.3">
      <c r="A72" t="s">
        <v>176</v>
      </c>
      <c r="B72" t="s">
        <v>177</v>
      </c>
      <c r="C72" t="s">
        <v>27</v>
      </c>
      <c r="D72" s="1">
        <v>45319</v>
      </c>
      <c r="E72">
        <v>428</v>
      </c>
      <c r="F72" t="s">
        <v>28</v>
      </c>
      <c r="G72">
        <v>5292</v>
      </c>
      <c r="H72">
        <v>4194</v>
      </c>
      <c r="I72">
        <v>131</v>
      </c>
      <c r="J72">
        <v>201</v>
      </c>
      <c r="K72">
        <v>1063692</v>
      </c>
      <c r="L72">
        <v>126552</v>
      </c>
      <c r="M72">
        <v>937140</v>
      </c>
      <c r="N72">
        <f t="shared" si="6"/>
        <v>842994</v>
      </c>
      <c r="O72">
        <f t="shared" si="7"/>
        <v>94146</v>
      </c>
      <c r="P72">
        <f t="shared" si="8"/>
        <v>0.10046097701517383</v>
      </c>
      <c r="Q72">
        <v>8</v>
      </c>
      <c r="R72">
        <v>38096</v>
      </c>
      <c r="S72">
        <f t="shared" si="9"/>
        <v>6.1068702290076333E-2</v>
      </c>
      <c r="T72">
        <v>59</v>
      </c>
      <c r="U72">
        <v>3.22</v>
      </c>
      <c r="V72">
        <v>106561</v>
      </c>
      <c r="W72">
        <v>1140541</v>
      </c>
      <c r="X72">
        <f t="shared" si="10"/>
        <v>10.703174707444562</v>
      </c>
      <c r="Y72" t="str">
        <f t="shared" si="11"/>
        <v>Weak Product</v>
      </c>
    </row>
    <row r="73" spans="1:25" x14ac:dyDescent="0.3">
      <c r="A73" t="s">
        <v>178</v>
      </c>
      <c r="B73" t="s">
        <v>179</v>
      </c>
      <c r="C73" t="s">
        <v>27</v>
      </c>
      <c r="D73" s="1">
        <v>45600</v>
      </c>
      <c r="E73">
        <v>147</v>
      </c>
      <c r="F73" t="s">
        <v>28</v>
      </c>
      <c r="G73">
        <v>5797</v>
      </c>
      <c r="H73">
        <v>3636</v>
      </c>
      <c r="I73">
        <v>104</v>
      </c>
      <c r="J73">
        <v>159</v>
      </c>
      <c r="K73">
        <v>921723</v>
      </c>
      <c r="L73">
        <v>110027</v>
      </c>
      <c r="M73">
        <v>811696</v>
      </c>
      <c r="N73">
        <f t="shared" si="6"/>
        <v>578124</v>
      </c>
      <c r="O73">
        <f t="shared" si="7"/>
        <v>233572</v>
      </c>
      <c r="P73">
        <f t="shared" si="8"/>
        <v>0.28775797835642902</v>
      </c>
      <c r="Q73">
        <v>3</v>
      </c>
      <c r="R73">
        <v>15651</v>
      </c>
      <c r="S73">
        <f t="shared" si="9"/>
        <v>2.8846153846153848E-2</v>
      </c>
      <c r="T73">
        <v>45</v>
      </c>
      <c r="U73">
        <v>3.89</v>
      </c>
      <c r="V73">
        <v>635418</v>
      </c>
      <c r="W73">
        <v>5905787</v>
      </c>
      <c r="X73">
        <f t="shared" si="10"/>
        <v>9.2943338086110252</v>
      </c>
      <c r="Y73" t="str">
        <f t="shared" si="11"/>
        <v>Weak Product</v>
      </c>
    </row>
    <row r="74" spans="1:25" x14ac:dyDescent="0.3">
      <c r="A74" t="s">
        <v>180</v>
      </c>
      <c r="B74" t="s">
        <v>181</v>
      </c>
      <c r="C74" t="s">
        <v>27</v>
      </c>
      <c r="D74" s="1">
        <v>45219</v>
      </c>
      <c r="E74">
        <v>528</v>
      </c>
      <c r="F74" t="s">
        <v>28</v>
      </c>
      <c r="G74">
        <v>10521</v>
      </c>
      <c r="H74">
        <v>6742</v>
      </c>
      <c r="I74">
        <v>116</v>
      </c>
      <c r="J74">
        <v>169</v>
      </c>
      <c r="K74">
        <v>1778049</v>
      </c>
      <c r="L74">
        <v>239923</v>
      </c>
      <c r="M74">
        <v>1538126</v>
      </c>
      <c r="N74">
        <f t="shared" si="6"/>
        <v>1139398</v>
      </c>
      <c r="O74">
        <f t="shared" si="7"/>
        <v>398728</v>
      </c>
      <c r="P74">
        <f t="shared" si="8"/>
        <v>0.25922973800585908</v>
      </c>
      <c r="Q74">
        <v>9</v>
      </c>
      <c r="R74">
        <v>85212</v>
      </c>
      <c r="S74">
        <f t="shared" si="9"/>
        <v>7.7586206896551727E-2</v>
      </c>
      <c r="T74">
        <v>58</v>
      </c>
      <c r="U74">
        <v>4.09</v>
      </c>
      <c r="V74">
        <v>659914</v>
      </c>
      <c r="W74">
        <v>6846018</v>
      </c>
      <c r="X74">
        <f t="shared" si="10"/>
        <v>10.374106322945112</v>
      </c>
      <c r="Y74" t="str">
        <f t="shared" si="11"/>
        <v>Weak Product</v>
      </c>
    </row>
    <row r="75" spans="1:25" x14ac:dyDescent="0.3">
      <c r="A75" t="s">
        <v>182</v>
      </c>
      <c r="B75" t="s">
        <v>183</v>
      </c>
      <c r="C75" t="s">
        <v>27</v>
      </c>
      <c r="D75" s="1">
        <v>45650</v>
      </c>
      <c r="E75">
        <v>97</v>
      </c>
      <c r="F75" t="s">
        <v>28</v>
      </c>
      <c r="G75">
        <v>19973</v>
      </c>
      <c r="H75">
        <v>10735</v>
      </c>
      <c r="I75">
        <v>53</v>
      </c>
      <c r="J75">
        <v>77</v>
      </c>
      <c r="K75">
        <v>1537921</v>
      </c>
      <c r="L75">
        <v>168649</v>
      </c>
      <c r="M75">
        <v>1369272</v>
      </c>
      <c r="N75">
        <f t="shared" si="6"/>
        <v>826595</v>
      </c>
      <c r="O75">
        <f t="shared" si="7"/>
        <v>542677</v>
      </c>
      <c r="P75">
        <f t="shared" si="8"/>
        <v>0.39632520054452292</v>
      </c>
      <c r="Q75">
        <v>3</v>
      </c>
      <c r="R75">
        <v>53925</v>
      </c>
      <c r="S75">
        <f t="shared" si="9"/>
        <v>5.6603773584905662E-2</v>
      </c>
      <c r="T75">
        <v>22</v>
      </c>
      <c r="U75">
        <v>4.25</v>
      </c>
      <c r="V75">
        <v>246582</v>
      </c>
      <c r="W75">
        <v>7872856</v>
      </c>
      <c r="X75">
        <f t="shared" si="10"/>
        <v>31.927942834432358</v>
      </c>
      <c r="Y75" t="str">
        <f t="shared" si="11"/>
        <v>Weak Product</v>
      </c>
    </row>
    <row r="76" spans="1:25" x14ac:dyDescent="0.3">
      <c r="A76" t="s">
        <v>184</v>
      </c>
      <c r="B76" t="s">
        <v>185</v>
      </c>
      <c r="C76" t="s">
        <v>36</v>
      </c>
      <c r="D76" s="1">
        <v>44847</v>
      </c>
      <c r="E76">
        <v>900</v>
      </c>
      <c r="F76" t="s">
        <v>28</v>
      </c>
      <c r="G76">
        <v>16878</v>
      </c>
      <c r="H76">
        <v>10272</v>
      </c>
      <c r="I76">
        <v>25</v>
      </c>
      <c r="J76">
        <v>40</v>
      </c>
      <c r="K76">
        <v>675120</v>
      </c>
      <c r="L76">
        <v>100176</v>
      </c>
      <c r="M76">
        <v>574944</v>
      </c>
      <c r="N76">
        <f t="shared" si="6"/>
        <v>410880</v>
      </c>
      <c r="O76">
        <f t="shared" si="7"/>
        <v>164064</v>
      </c>
      <c r="P76">
        <f t="shared" si="8"/>
        <v>0.28535648689263649</v>
      </c>
      <c r="Q76">
        <v>1</v>
      </c>
      <c r="R76">
        <v>15190</v>
      </c>
      <c r="S76">
        <f t="shared" si="9"/>
        <v>0.04</v>
      </c>
      <c r="T76">
        <v>12</v>
      </c>
      <c r="U76">
        <v>4.25</v>
      </c>
      <c r="V76">
        <v>97496</v>
      </c>
      <c r="W76">
        <v>2530919</v>
      </c>
      <c r="X76">
        <f t="shared" si="10"/>
        <v>25.959208582916222</v>
      </c>
      <c r="Y76" t="str">
        <f t="shared" si="11"/>
        <v>Star</v>
      </c>
    </row>
    <row r="77" spans="1:25" x14ac:dyDescent="0.3">
      <c r="A77" t="s">
        <v>186</v>
      </c>
      <c r="B77" t="s">
        <v>187</v>
      </c>
      <c r="C77" t="s">
        <v>36</v>
      </c>
      <c r="D77" s="1">
        <v>45586</v>
      </c>
      <c r="E77">
        <v>161</v>
      </c>
      <c r="F77" t="s">
        <v>28</v>
      </c>
      <c r="G77">
        <v>5312</v>
      </c>
      <c r="H77">
        <v>3739</v>
      </c>
      <c r="I77">
        <v>117</v>
      </c>
      <c r="J77">
        <v>169</v>
      </c>
      <c r="K77">
        <v>897728</v>
      </c>
      <c r="L77">
        <v>124300</v>
      </c>
      <c r="M77">
        <v>773428</v>
      </c>
      <c r="N77">
        <f t="shared" si="6"/>
        <v>631891</v>
      </c>
      <c r="O77">
        <f t="shared" si="7"/>
        <v>141537</v>
      </c>
      <c r="P77">
        <f t="shared" si="8"/>
        <v>0.18299958108576364</v>
      </c>
      <c r="Q77">
        <v>7</v>
      </c>
      <c r="R77">
        <v>33460</v>
      </c>
      <c r="S77">
        <f t="shared" si="9"/>
        <v>5.9829059829059832E-2</v>
      </c>
      <c r="T77">
        <v>52</v>
      </c>
      <c r="U77">
        <v>3.73</v>
      </c>
      <c r="V77">
        <v>336844</v>
      </c>
      <c r="W77">
        <v>2903629</v>
      </c>
      <c r="X77">
        <f t="shared" si="10"/>
        <v>8.6201001056869053</v>
      </c>
      <c r="Y77" t="str">
        <f t="shared" si="11"/>
        <v>Weak Product</v>
      </c>
    </row>
    <row r="78" spans="1:25" x14ac:dyDescent="0.3">
      <c r="A78" t="s">
        <v>188</v>
      </c>
      <c r="B78" t="s">
        <v>189</v>
      </c>
      <c r="C78" t="s">
        <v>36</v>
      </c>
      <c r="D78" s="1">
        <v>45441</v>
      </c>
      <c r="E78">
        <v>306</v>
      </c>
      <c r="F78" t="s">
        <v>28</v>
      </c>
      <c r="G78">
        <v>14571</v>
      </c>
      <c r="H78">
        <v>7699</v>
      </c>
      <c r="I78">
        <v>41</v>
      </c>
      <c r="J78">
        <v>63</v>
      </c>
      <c r="K78">
        <v>917973</v>
      </c>
      <c r="L78">
        <v>143836</v>
      </c>
      <c r="M78">
        <v>774137</v>
      </c>
      <c r="N78">
        <f t="shared" si="6"/>
        <v>485037</v>
      </c>
      <c r="O78">
        <f t="shared" si="7"/>
        <v>289100</v>
      </c>
      <c r="P78">
        <f t="shared" si="8"/>
        <v>0.37344811060574551</v>
      </c>
      <c r="Q78">
        <v>7</v>
      </c>
      <c r="R78">
        <v>91791</v>
      </c>
      <c r="S78">
        <f t="shared" si="9"/>
        <v>0.17073170731707318</v>
      </c>
      <c r="T78">
        <v>19</v>
      </c>
      <c r="U78">
        <v>4.16</v>
      </c>
      <c r="V78">
        <v>209017</v>
      </c>
      <c r="W78">
        <v>2759063</v>
      </c>
      <c r="X78">
        <f t="shared" si="10"/>
        <v>13.200184673973887</v>
      </c>
      <c r="Y78" t="str">
        <f t="shared" si="11"/>
        <v>Weak Product</v>
      </c>
    </row>
    <row r="79" spans="1:25" x14ac:dyDescent="0.3">
      <c r="A79" t="s">
        <v>190</v>
      </c>
      <c r="B79" t="s">
        <v>191</v>
      </c>
      <c r="C79" t="s">
        <v>36</v>
      </c>
      <c r="D79" s="1">
        <v>45418</v>
      </c>
      <c r="E79">
        <v>329</v>
      </c>
      <c r="F79" t="s">
        <v>28</v>
      </c>
      <c r="G79">
        <v>8289</v>
      </c>
      <c r="H79">
        <v>4660</v>
      </c>
      <c r="I79">
        <v>51</v>
      </c>
      <c r="J79">
        <v>76</v>
      </c>
      <c r="K79">
        <v>629964</v>
      </c>
      <c r="L79">
        <v>66345</v>
      </c>
      <c r="M79">
        <v>563619</v>
      </c>
      <c r="N79">
        <f t="shared" si="6"/>
        <v>354160</v>
      </c>
      <c r="O79">
        <f t="shared" si="7"/>
        <v>209459</v>
      </c>
      <c r="P79">
        <f t="shared" si="8"/>
        <v>0.37163225512269815</v>
      </c>
      <c r="Q79">
        <v>4</v>
      </c>
      <c r="R79">
        <v>29840</v>
      </c>
      <c r="S79">
        <f t="shared" si="9"/>
        <v>7.8431372549019607E-2</v>
      </c>
      <c r="T79">
        <v>20</v>
      </c>
      <c r="U79">
        <v>4.43</v>
      </c>
      <c r="V79">
        <v>352452</v>
      </c>
      <c r="W79">
        <v>3544493</v>
      </c>
      <c r="X79">
        <f t="shared" si="10"/>
        <v>10.05666870949803</v>
      </c>
      <c r="Y79" t="str">
        <f t="shared" si="11"/>
        <v>Weak Product</v>
      </c>
    </row>
    <row r="80" spans="1:25" x14ac:dyDescent="0.3">
      <c r="A80" t="s">
        <v>192</v>
      </c>
      <c r="B80" t="s">
        <v>193</v>
      </c>
      <c r="C80" t="s">
        <v>36</v>
      </c>
      <c r="D80" s="1">
        <v>45445</v>
      </c>
      <c r="E80">
        <v>302</v>
      </c>
      <c r="F80" t="s">
        <v>28</v>
      </c>
      <c r="G80">
        <v>8764</v>
      </c>
      <c r="H80">
        <v>6545</v>
      </c>
      <c r="I80">
        <v>68</v>
      </c>
      <c r="J80">
        <v>100</v>
      </c>
      <c r="K80">
        <v>876400</v>
      </c>
      <c r="L80">
        <v>139301</v>
      </c>
      <c r="M80">
        <v>737099</v>
      </c>
      <c r="N80">
        <f t="shared" si="6"/>
        <v>654500</v>
      </c>
      <c r="O80">
        <f t="shared" si="7"/>
        <v>82599</v>
      </c>
      <c r="P80">
        <f t="shared" si="8"/>
        <v>0.11205957408706294</v>
      </c>
      <c r="Q80">
        <v>2</v>
      </c>
      <c r="R80">
        <v>15774</v>
      </c>
      <c r="S80">
        <f t="shared" si="9"/>
        <v>2.9411764705882353E-2</v>
      </c>
      <c r="T80">
        <v>28</v>
      </c>
      <c r="U80">
        <v>3.3</v>
      </c>
      <c r="V80">
        <v>157873</v>
      </c>
      <c r="W80">
        <v>1145086</v>
      </c>
      <c r="X80">
        <f t="shared" si="10"/>
        <v>7.2532098585571951</v>
      </c>
      <c r="Y80" t="str">
        <f t="shared" si="11"/>
        <v>Weak Product</v>
      </c>
    </row>
    <row r="81" spans="1:25" x14ac:dyDescent="0.3">
      <c r="A81" t="s">
        <v>194</v>
      </c>
      <c r="B81" t="s">
        <v>195</v>
      </c>
      <c r="C81" t="s">
        <v>36</v>
      </c>
      <c r="D81" s="1">
        <v>45081</v>
      </c>
      <c r="E81">
        <v>666</v>
      </c>
      <c r="F81" t="s">
        <v>28</v>
      </c>
      <c r="G81">
        <v>16308</v>
      </c>
      <c r="H81">
        <v>10602</v>
      </c>
      <c r="I81">
        <v>80</v>
      </c>
      <c r="J81">
        <v>120</v>
      </c>
      <c r="K81">
        <v>1956960</v>
      </c>
      <c r="L81">
        <v>329103</v>
      </c>
      <c r="M81">
        <v>1627857</v>
      </c>
      <c r="N81">
        <f t="shared" si="6"/>
        <v>1272240</v>
      </c>
      <c r="O81">
        <f t="shared" si="7"/>
        <v>355617</v>
      </c>
      <c r="P81">
        <f t="shared" si="8"/>
        <v>0.21845714949163225</v>
      </c>
      <c r="Q81">
        <v>2</v>
      </c>
      <c r="R81">
        <v>29354</v>
      </c>
      <c r="S81">
        <f t="shared" si="9"/>
        <v>2.5000000000000001E-2</v>
      </c>
      <c r="T81">
        <v>36</v>
      </c>
      <c r="U81">
        <v>3.76</v>
      </c>
      <c r="V81">
        <v>245511</v>
      </c>
      <c r="W81">
        <v>5738116</v>
      </c>
      <c r="X81">
        <f t="shared" si="10"/>
        <v>23.372134038800706</v>
      </c>
      <c r="Y81" t="str">
        <f t="shared" si="11"/>
        <v>Weak Product</v>
      </c>
    </row>
    <row r="82" spans="1:25" x14ac:dyDescent="0.3">
      <c r="A82" t="s">
        <v>196</v>
      </c>
      <c r="B82" t="s">
        <v>197</v>
      </c>
      <c r="C82" t="s">
        <v>36</v>
      </c>
      <c r="D82" s="1">
        <v>45148</v>
      </c>
      <c r="E82">
        <v>599</v>
      </c>
      <c r="F82" t="s">
        <v>28</v>
      </c>
      <c r="G82">
        <v>13550</v>
      </c>
      <c r="H82">
        <v>7976</v>
      </c>
      <c r="I82">
        <v>98</v>
      </c>
      <c r="J82">
        <v>144</v>
      </c>
      <c r="K82">
        <v>1951200</v>
      </c>
      <c r="L82">
        <v>321454</v>
      </c>
      <c r="M82">
        <v>1629746</v>
      </c>
      <c r="N82">
        <f t="shared" si="6"/>
        <v>1148544</v>
      </c>
      <c r="O82">
        <f t="shared" si="7"/>
        <v>481202</v>
      </c>
      <c r="P82">
        <f t="shared" si="8"/>
        <v>0.29526196106632568</v>
      </c>
      <c r="Q82">
        <v>11</v>
      </c>
      <c r="R82">
        <v>134145</v>
      </c>
      <c r="S82">
        <f t="shared" si="9"/>
        <v>0.11224489795918367</v>
      </c>
      <c r="T82">
        <v>34</v>
      </c>
      <c r="U82">
        <v>3.81</v>
      </c>
      <c r="V82">
        <v>515529</v>
      </c>
      <c r="W82">
        <v>10036348</v>
      </c>
      <c r="X82">
        <f t="shared" si="10"/>
        <v>19.468057083112686</v>
      </c>
      <c r="Y82" t="str">
        <f t="shared" si="11"/>
        <v>Weak Product</v>
      </c>
    </row>
    <row r="83" spans="1:25" x14ac:dyDescent="0.3">
      <c r="A83" t="s">
        <v>198</v>
      </c>
      <c r="B83" t="s">
        <v>199</v>
      </c>
      <c r="C83" t="s">
        <v>36</v>
      </c>
      <c r="D83" s="1">
        <v>45299</v>
      </c>
      <c r="E83">
        <v>448</v>
      </c>
      <c r="F83" t="s">
        <v>28</v>
      </c>
      <c r="G83">
        <v>11138</v>
      </c>
      <c r="H83">
        <v>8260</v>
      </c>
      <c r="I83">
        <v>73</v>
      </c>
      <c r="J83">
        <v>116</v>
      </c>
      <c r="K83">
        <v>1292008</v>
      </c>
      <c r="L83">
        <v>240604</v>
      </c>
      <c r="M83">
        <v>1051404</v>
      </c>
      <c r="N83">
        <f t="shared" si="6"/>
        <v>958160</v>
      </c>
      <c r="O83">
        <f t="shared" si="7"/>
        <v>93244</v>
      </c>
      <c r="P83">
        <f t="shared" si="8"/>
        <v>8.8685224709055696E-2</v>
      </c>
      <c r="Q83">
        <v>4</v>
      </c>
      <c r="R83">
        <v>40096</v>
      </c>
      <c r="S83">
        <f t="shared" si="9"/>
        <v>5.4794520547945202E-2</v>
      </c>
      <c r="T83">
        <v>32</v>
      </c>
      <c r="U83">
        <v>3.61</v>
      </c>
      <c r="V83">
        <v>463068</v>
      </c>
      <c r="W83">
        <v>5545902</v>
      </c>
      <c r="X83">
        <f t="shared" si="10"/>
        <v>11.976431107310374</v>
      </c>
      <c r="Y83" t="str">
        <f t="shared" si="11"/>
        <v>Weak Product</v>
      </c>
    </row>
    <row r="84" spans="1:25" x14ac:dyDescent="0.3">
      <c r="A84" t="s">
        <v>200</v>
      </c>
      <c r="B84" t="s">
        <v>201</v>
      </c>
      <c r="C84" t="s">
        <v>36</v>
      </c>
      <c r="D84" s="1">
        <v>45591</v>
      </c>
      <c r="E84">
        <v>156</v>
      </c>
      <c r="F84" t="s">
        <v>28</v>
      </c>
      <c r="G84">
        <v>6365</v>
      </c>
      <c r="H84">
        <v>5179</v>
      </c>
      <c r="I84">
        <v>60</v>
      </c>
      <c r="J84">
        <v>85</v>
      </c>
      <c r="K84">
        <v>541025</v>
      </c>
      <c r="L84">
        <v>95697</v>
      </c>
      <c r="M84">
        <v>445328</v>
      </c>
      <c r="N84">
        <f t="shared" si="6"/>
        <v>440215</v>
      </c>
      <c r="O84">
        <f t="shared" si="7"/>
        <v>5113</v>
      </c>
      <c r="P84">
        <f t="shared" si="8"/>
        <v>1.1481424927244637E-2</v>
      </c>
      <c r="Q84">
        <v>2</v>
      </c>
      <c r="R84">
        <v>11456</v>
      </c>
      <c r="S84">
        <f t="shared" si="9"/>
        <v>3.3333333333333333E-2</v>
      </c>
      <c r="T84">
        <v>24</v>
      </c>
      <c r="U84">
        <v>3.15</v>
      </c>
      <c r="V84">
        <v>207105</v>
      </c>
      <c r="W84">
        <v>1937645</v>
      </c>
      <c r="X84">
        <f t="shared" si="10"/>
        <v>9.3558581395910281</v>
      </c>
      <c r="Y84" t="str">
        <f t="shared" si="11"/>
        <v>Weak Product</v>
      </c>
    </row>
    <row r="85" spans="1:25" x14ac:dyDescent="0.3">
      <c r="A85" t="s">
        <v>202</v>
      </c>
      <c r="B85" t="s">
        <v>203</v>
      </c>
      <c r="C85" t="s">
        <v>36</v>
      </c>
      <c r="D85" s="1">
        <v>45204</v>
      </c>
      <c r="E85">
        <v>543</v>
      </c>
      <c r="F85" t="s">
        <v>28</v>
      </c>
      <c r="G85">
        <v>6659</v>
      </c>
      <c r="H85">
        <v>5105</v>
      </c>
      <c r="I85">
        <v>142</v>
      </c>
      <c r="J85">
        <v>224</v>
      </c>
      <c r="K85">
        <v>1491616</v>
      </c>
      <c r="L85">
        <v>262760</v>
      </c>
      <c r="M85">
        <v>1228856</v>
      </c>
      <c r="N85">
        <f t="shared" si="6"/>
        <v>1143520</v>
      </c>
      <c r="O85">
        <f t="shared" si="7"/>
        <v>85336</v>
      </c>
      <c r="P85">
        <f t="shared" si="8"/>
        <v>6.94434498427806E-2</v>
      </c>
      <c r="Q85">
        <v>19</v>
      </c>
      <c r="R85">
        <v>113867</v>
      </c>
      <c r="S85">
        <f t="shared" si="9"/>
        <v>0.13380281690140844</v>
      </c>
      <c r="T85">
        <v>46</v>
      </c>
      <c r="U85">
        <v>3.53</v>
      </c>
      <c r="V85">
        <v>550447</v>
      </c>
      <c r="W85">
        <v>5041807</v>
      </c>
      <c r="X85">
        <f t="shared" si="10"/>
        <v>9.1594776608828816</v>
      </c>
      <c r="Y85" t="str">
        <f t="shared" si="11"/>
        <v>Weak Product</v>
      </c>
    </row>
    <row r="86" spans="1:25" x14ac:dyDescent="0.3">
      <c r="A86" t="s">
        <v>204</v>
      </c>
      <c r="B86" t="s">
        <v>205</v>
      </c>
      <c r="C86" t="s">
        <v>36</v>
      </c>
      <c r="D86" s="1">
        <v>44964</v>
      </c>
      <c r="E86">
        <v>783</v>
      </c>
      <c r="F86" t="s">
        <v>28</v>
      </c>
      <c r="G86">
        <v>18431</v>
      </c>
      <c r="H86">
        <v>14164</v>
      </c>
      <c r="I86">
        <v>41</v>
      </c>
      <c r="J86">
        <v>60</v>
      </c>
      <c r="K86">
        <v>1105860</v>
      </c>
      <c r="L86">
        <v>123285</v>
      </c>
      <c r="M86">
        <v>982575</v>
      </c>
      <c r="N86">
        <f t="shared" si="6"/>
        <v>849840</v>
      </c>
      <c r="O86">
        <f t="shared" si="7"/>
        <v>132735</v>
      </c>
      <c r="P86">
        <f t="shared" si="8"/>
        <v>0.13508892450957943</v>
      </c>
      <c r="Q86">
        <v>1</v>
      </c>
      <c r="R86">
        <v>16587</v>
      </c>
      <c r="S86">
        <f t="shared" si="9"/>
        <v>2.4390243902439025E-2</v>
      </c>
      <c r="T86">
        <v>19</v>
      </c>
      <c r="U86">
        <v>2.87</v>
      </c>
      <c r="V86">
        <v>151511</v>
      </c>
      <c r="W86">
        <v>2940603</v>
      </c>
      <c r="X86">
        <f t="shared" si="10"/>
        <v>19.408511593217654</v>
      </c>
      <c r="Y86" t="str">
        <f t="shared" si="11"/>
        <v>Weak Product</v>
      </c>
    </row>
    <row r="87" spans="1:25" x14ac:dyDescent="0.3">
      <c r="A87" t="s">
        <v>206</v>
      </c>
      <c r="B87" t="s">
        <v>207</v>
      </c>
      <c r="C87" t="s">
        <v>36</v>
      </c>
      <c r="D87" s="1">
        <v>45023</v>
      </c>
      <c r="E87">
        <v>724</v>
      </c>
      <c r="F87" t="s">
        <v>28</v>
      </c>
      <c r="G87">
        <v>15985</v>
      </c>
      <c r="H87">
        <v>11218</v>
      </c>
      <c r="I87">
        <v>90</v>
      </c>
      <c r="J87">
        <v>137</v>
      </c>
      <c r="K87">
        <v>2189945</v>
      </c>
      <c r="L87">
        <v>362614</v>
      </c>
      <c r="M87">
        <v>1827331</v>
      </c>
      <c r="N87">
        <f t="shared" si="6"/>
        <v>1536866</v>
      </c>
      <c r="O87">
        <f t="shared" si="7"/>
        <v>290465</v>
      </c>
      <c r="P87">
        <f t="shared" si="8"/>
        <v>0.15895587608375275</v>
      </c>
      <c r="Q87">
        <v>5</v>
      </c>
      <c r="R87">
        <v>71930</v>
      </c>
      <c r="S87">
        <f t="shared" si="9"/>
        <v>5.5555555555555552E-2</v>
      </c>
      <c r="T87">
        <v>36</v>
      </c>
      <c r="U87">
        <v>3.56</v>
      </c>
      <c r="V87">
        <v>420776</v>
      </c>
      <c r="W87">
        <v>6561150</v>
      </c>
      <c r="X87">
        <f t="shared" si="10"/>
        <v>15.592975835123676</v>
      </c>
      <c r="Y87" t="str">
        <f t="shared" si="11"/>
        <v>Weak Product</v>
      </c>
    </row>
    <row r="88" spans="1:25" x14ac:dyDescent="0.3">
      <c r="A88" t="s">
        <v>208</v>
      </c>
      <c r="B88" t="s">
        <v>209</v>
      </c>
      <c r="C88" t="s">
        <v>36</v>
      </c>
      <c r="D88" s="1">
        <v>45479</v>
      </c>
      <c r="E88">
        <v>268</v>
      </c>
      <c r="F88" t="s">
        <v>28</v>
      </c>
      <c r="G88">
        <v>16412</v>
      </c>
      <c r="H88">
        <v>14223</v>
      </c>
      <c r="I88">
        <v>90</v>
      </c>
      <c r="J88">
        <v>137</v>
      </c>
      <c r="K88">
        <v>2248444</v>
      </c>
      <c r="L88">
        <v>458442</v>
      </c>
      <c r="M88">
        <v>1790002</v>
      </c>
      <c r="N88">
        <f t="shared" si="6"/>
        <v>1948551</v>
      </c>
      <c r="O88">
        <f t="shared" si="7"/>
        <v>-158549</v>
      </c>
      <c r="P88">
        <f t="shared" si="8"/>
        <v>-8.8574761368981708E-2</v>
      </c>
      <c r="Q88">
        <v>8</v>
      </c>
      <c r="R88">
        <v>118160</v>
      </c>
      <c r="S88">
        <f t="shared" si="9"/>
        <v>8.8888888888888892E-2</v>
      </c>
      <c r="T88">
        <v>45</v>
      </c>
      <c r="U88">
        <v>3.11</v>
      </c>
      <c r="V88">
        <v>131318</v>
      </c>
      <c r="W88">
        <v>2281281</v>
      </c>
      <c r="X88">
        <f t="shared" si="10"/>
        <v>17.372188123486499</v>
      </c>
      <c r="Y88" t="str">
        <f t="shared" si="11"/>
        <v>Weak Product</v>
      </c>
    </row>
    <row r="89" spans="1:25" x14ac:dyDescent="0.3">
      <c r="A89" t="s">
        <v>210</v>
      </c>
      <c r="B89" t="s">
        <v>211</v>
      </c>
      <c r="C89" t="s">
        <v>36</v>
      </c>
      <c r="D89" s="1">
        <v>45261</v>
      </c>
      <c r="E89">
        <v>486</v>
      </c>
      <c r="F89" t="s">
        <v>28</v>
      </c>
      <c r="G89">
        <v>4180</v>
      </c>
      <c r="H89">
        <v>2712</v>
      </c>
      <c r="I89">
        <v>178</v>
      </c>
      <c r="J89">
        <v>266</v>
      </c>
      <c r="K89">
        <v>1111880</v>
      </c>
      <c r="L89">
        <v>142613</v>
      </c>
      <c r="M89">
        <v>969267</v>
      </c>
      <c r="N89">
        <f t="shared" si="6"/>
        <v>721392</v>
      </c>
      <c r="O89">
        <f t="shared" si="7"/>
        <v>247875</v>
      </c>
      <c r="P89">
        <f t="shared" si="8"/>
        <v>0.25573448802032878</v>
      </c>
      <c r="Q89">
        <v>14</v>
      </c>
      <c r="R89">
        <v>52668</v>
      </c>
      <c r="S89">
        <f t="shared" si="9"/>
        <v>7.8651685393258425E-2</v>
      </c>
      <c r="T89">
        <v>72</v>
      </c>
      <c r="U89">
        <v>3.81</v>
      </c>
      <c r="V89">
        <v>133776</v>
      </c>
      <c r="W89">
        <v>609650</v>
      </c>
      <c r="X89">
        <f t="shared" si="10"/>
        <v>4.5572449467767013</v>
      </c>
      <c r="Y89" t="str">
        <f t="shared" si="11"/>
        <v>Weak Product</v>
      </c>
    </row>
    <row r="90" spans="1:25" x14ac:dyDescent="0.3">
      <c r="A90" t="s">
        <v>212</v>
      </c>
      <c r="B90" t="s">
        <v>213</v>
      </c>
      <c r="C90" t="s">
        <v>36</v>
      </c>
      <c r="D90" s="1">
        <v>45274</v>
      </c>
      <c r="E90">
        <v>473</v>
      </c>
      <c r="F90" t="s">
        <v>28</v>
      </c>
      <c r="G90">
        <v>10042</v>
      </c>
      <c r="H90">
        <v>5150</v>
      </c>
      <c r="I90">
        <v>46</v>
      </c>
      <c r="J90">
        <v>67</v>
      </c>
      <c r="K90">
        <v>672814</v>
      </c>
      <c r="L90">
        <v>124613</v>
      </c>
      <c r="M90">
        <v>548201</v>
      </c>
      <c r="N90">
        <f t="shared" si="6"/>
        <v>345050</v>
      </c>
      <c r="O90">
        <f t="shared" si="7"/>
        <v>203151</v>
      </c>
      <c r="P90">
        <f t="shared" si="8"/>
        <v>0.37057758012115993</v>
      </c>
      <c r="Q90">
        <v>4</v>
      </c>
      <c r="R90">
        <v>36148</v>
      </c>
      <c r="S90">
        <f t="shared" si="9"/>
        <v>8.6956521739130432E-2</v>
      </c>
      <c r="T90">
        <v>23</v>
      </c>
      <c r="U90">
        <v>4.24</v>
      </c>
      <c r="V90">
        <v>577363</v>
      </c>
      <c r="W90">
        <v>6464711</v>
      </c>
      <c r="X90">
        <f t="shared" si="10"/>
        <v>11.196961010664001</v>
      </c>
      <c r="Y90" t="str">
        <f t="shared" si="11"/>
        <v>Weak Product</v>
      </c>
    </row>
    <row r="91" spans="1:25" x14ac:dyDescent="0.3">
      <c r="A91" t="s">
        <v>214</v>
      </c>
      <c r="B91" t="s">
        <v>215</v>
      </c>
      <c r="C91" t="s">
        <v>36</v>
      </c>
      <c r="D91" s="1">
        <v>44918</v>
      </c>
      <c r="E91">
        <v>829</v>
      </c>
      <c r="F91" t="s">
        <v>28</v>
      </c>
      <c r="G91">
        <v>7213</v>
      </c>
      <c r="H91">
        <v>5632</v>
      </c>
      <c r="I91">
        <v>88</v>
      </c>
      <c r="J91">
        <v>130</v>
      </c>
      <c r="K91">
        <v>937690</v>
      </c>
      <c r="L91">
        <v>153724</v>
      </c>
      <c r="M91">
        <v>783966</v>
      </c>
      <c r="N91">
        <f t="shared" si="6"/>
        <v>732160</v>
      </c>
      <c r="O91">
        <f t="shared" si="7"/>
        <v>51806</v>
      </c>
      <c r="P91">
        <f t="shared" si="8"/>
        <v>6.6081947431393714E-2</v>
      </c>
      <c r="Q91">
        <v>9</v>
      </c>
      <c r="R91">
        <v>58419</v>
      </c>
      <c r="S91">
        <f t="shared" si="9"/>
        <v>0.10227272727272728</v>
      </c>
      <c r="T91">
        <v>34</v>
      </c>
      <c r="U91">
        <v>3.38</v>
      </c>
      <c r="V91">
        <v>277529</v>
      </c>
      <c r="W91">
        <v>2788957</v>
      </c>
      <c r="X91">
        <f t="shared" si="10"/>
        <v>10.049245304094347</v>
      </c>
      <c r="Y91" t="str">
        <f t="shared" si="11"/>
        <v>Weak Product</v>
      </c>
    </row>
    <row r="92" spans="1:25" x14ac:dyDescent="0.3">
      <c r="A92" t="s">
        <v>216</v>
      </c>
      <c r="B92" t="s">
        <v>217</v>
      </c>
      <c r="C92" t="s">
        <v>36</v>
      </c>
      <c r="D92" s="1">
        <v>45072</v>
      </c>
      <c r="E92">
        <v>675</v>
      </c>
      <c r="F92" t="s">
        <v>28</v>
      </c>
      <c r="G92">
        <v>15697</v>
      </c>
      <c r="H92">
        <v>12069</v>
      </c>
      <c r="I92">
        <v>50</v>
      </c>
      <c r="J92">
        <v>79</v>
      </c>
      <c r="K92">
        <v>1240063</v>
      </c>
      <c r="L92">
        <v>184751</v>
      </c>
      <c r="M92">
        <v>1055312</v>
      </c>
      <c r="N92">
        <f t="shared" si="6"/>
        <v>953451</v>
      </c>
      <c r="O92">
        <f t="shared" si="7"/>
        <v>101861</v>
      </c>
      <c r="P92">
        <f t="shared" si="8"/>
        <v>9.6522165956608091E-2</v>
      </c>
      <c r="Q92">
        <v>3</v>
      </c>
      <c r="R92">
        <v>42381</v>
      </c>
      <c r="S92">
        <f t="shared" si="9"/>
        <v>0.06</v>
      </c>
      <c r="T92">
        <v>16</v>
      </c>
      <c r="U92">
        <v>3.28</v>
      </c>
      <c r="V92">
        <v>397755</v>
      </c>
      <c r="W92">
        <v>6035674</v>
      </c>
      <c r="X92">
        <f t="shared" si="10"/>
        <v>15.174351045241417</v>
      </c>
      <c r="Y92" t="str">
        <f t="shared" si="11"/>
        <v>Weak Product</v>
      </c>
    </row>
    <row r="93" spans="1:25" x14ac:dyDescent="0.3">
      <c r="A93" t="s">
        <v>218</v>
      </c>
      <c r="B93" t="s">
        <v>219</v>
      </c>
      <c r="C93" t="s">
        <v>36</v>
      </c>
      <c r="D93" s="1">
        <v>45037</v>
      </c>
      <c r="E93">
        <v>710</v>
      </c>
      <c r="F93" t="s">
        <v>28</v>
      </c>
      <c r="G93">
        <v>19625</v>
      </c>
      <c r="H93">
        <v>11823</v>
      </c>
      <c r="I93">
        <v>78</v>
      </c>
      <c r="J93">
        <v>117</v>
      </c>
      <c r="K93">
        <v>2296125</v>
      </c>
      <c r="L93">
        <v>406682</v>
      </c>
      <c r="M93">
        <v>1889443</v>
      </c>
      <c r="N93">
        <f t="shared" si="6"/>
        <v>1383291</v>
      </c>
      <c r="O93">
        <f t="shared" si="7"/>
        <v>506152</v>
      </c>
      <c r="P93">
        <f t="shared" si="8"/>
        <v>0.2678842389000356</v>
      </c>
      <c r="Q93">
        <v>6</v>
      </c>
      <c r="R93">
        <v>105972</v>
      </c>
      <c r="S93">
        <f t="shared" si="9"/>
        <v>7.6923076923076927E-2</v>
      </c>
      <c r="T93">
        <v>31</v>
      </c>
      <c r="U93">
        <v>4.0599999999999996</v>
      </c>
      <c r="V93">
        <v>290403</v>
      </c>
      <c r="W93">
        <v>9865366</v>
      </c>
      <c r="X93">
        <f t="shared" si="10"/>
        <v>33.971295062378829</v>
      </c>
      <c r="Y93" t="str">
        <f t="shared" si="11"/>
        <v>Weak Product</v>
      </c>
    </row>
    <row r="94" spans="1:25" x14ac:dyDescent="0.3">
      <c r="A94" t="s">
        <v>220</v>
      </c>
      <c r="B94" t="s">
        <v>221</v>
      </c>
      <c r="C94" t="s">
        <v>36</v>
      </c>
      <c r="D94" s="1">
        <v>45149</v>
      </c>
      <c r="E94">
        <v>598</v>
      </c>
      <c r="F94" t="s">
        <v>28</v>
      </c>
      <c r="G94">
        <v>2253</v>
      </c>
      <c r="H94">
        <v>1859</v>
      </c>
      <c r="I94">
        <v>149</v>
      </c>
      <c r="J94">
        <v>225</v>
      </c>
      <c r="K94">
        <v>506925</v>
      </c>
      <c r="L94">
        <v>83954</v>
      </c>
      <c r="M94">
        <v>422971</v>
      </c>
      <c r="N94">
        <f t="shared" si="6"/>
        <v>418275</v>
      </c>
      <c r="O94">
        <f t="shared" si="7"/>
        <v>4696</v>
      </c>
      <c r="P94">
        <f t="shared" si="8"/>
        <v>1.1102416004879767E-2</v>
      </c>
      <c r="Q94">
        <v>8</v>
      </c>
      <c r="R94">
        <v>16216</v>
      </c>
      <c r="S94">
        <f t="shared" si="9"/>
        <v>5.3691275167785234E-2</v>
      </c>
      <c r="T94">
        <v>62</v>
      </c>
      <c r="U94">
        <v>3.36</v>
      </c>
      <c r="V94">
        <v>470679</v>
      </c>
      <c r="W94">
        <v>1454760</v>
      </c>
      <c r="X94">
        <f t="shared" si="10"/>
        <v>3.0907688679545933</v>
      </c>
      <c r="Y94" t="str">
        <f t="shared" si="11"/>
        <v>Weak Product</v>
      </c>
    </row>
    <row r="95" spans="1:25" x14ac:dyDescent="0.3">
      <c r="A95" t="s">
        <v>222</v>
      </c>
      <c r="B95" t="s">
        <v>223</v>
      </c>
      <c r="C95" t="s">
        <v>36</v>
      </c>
      <c r="D95" s="1">
        <v>45347</v>
      </c>
      <c r="E95">
        <v>400</v>
      </c>
      <c r="F95" t="s">
        <v>28</v>
      </c>
      <c r="G95">
        <v>13488</v>
      </c>
      <c r="H95">
        <v>6417</v>
      </c>
      <c r="I95">
        <v>94</v>
      </c>
      <c r="J95">
        <v>142</v>
      </c>
      <c r="K95">
        <v>1915296</v>
      </c>
      <c r="L95">
        <v>286918</v>
      </c>
      <c r="M95">
        <v>1628378</v>
      </c>
      <c r="N95">
        <f t="shared" si="6"/>
        <v>911214</v>
      </c>
      <c r="O95">
        <f t="shared" si="7"/>
        <v>717164</v>
      </c>
      <c r="P95">
        <f t="shared" si="8"/>
        <v>0.44041616872740852</v>
      </c>
      <c r="Q95">
        <v>1</v>
      </c>
      <c r="R95">
        <v>12139</v>
      </c>
      <c r="S95">
        <f t="shared" si="9"/>
        <v>1.0638297872340425E-2</v>
      </c>
      <c r="T95">
        <v>31</v>
      </c>
      <c r="U95">
        <v>4.6100000000000003</v>
      </c>
      <c r="V95">
        <v>777178</v>
      </c>
      <c r="W95">
        <v>8632967</v>
      </c>
      <c r="X95">
        <f t="shared" si="10"/>
        <v>11.108094928060238</v>
      </c>
      <c r="Y95" t="str">
        <f t="shared" si="11"/>
        <v>Star</v>
      </c>
    </row>
    <row r="96" spans="1:25" x14ac:dyDescent="0.3">
      <c r="A96" t="s">
        <v>224</v>
      </c>
      <c r="B96" t="s">
        <v>225</v>
      </c>
      <c r="C96" t="s">
        <v>36</v>
      </c>
      <c r="D96" s="1">
        <v>45069</v>
      </c>
      <c r="E96">
        <v>678</v>
      </c>
      <c r="F96" t="s">
        <v>28</v>
      </c>
      <c r="G96">
        <v>8503</v>
      </c>
      <c r="H96">
        <v>7553</v>
      </c>
      <c r="I96">
        <v>105</v>
      </c>
      <c r="J96">
        <v>150</v>
      </c>
      <c r="K96">
        <v>1275450</v>
      </c>
      <c r="L96">
        <v>124581</v>
      </c>
      <c r="M96">
        <v>1150869</v>
      </c>
      <c r="N96">
        <f t="shared" si="6"/>
        <v>1132950</v>
      </c>
      <c r="O96">
        <f t="shared" si="7"/>
        <v>17919</v>
      </c>
      <c r="P96">
        <f t="shared" si="8"/>
        <v>1.5569973646001413E-2</v>
      </c>
      <c r="Q96">
        <v>2</v>
      </c>
      <c r="R96">
        <v>15304</v>
      </c>
      <c r="S96">
        <f t="shared" si="9"/>
        <v>1.9047619047619049E-2</v>
      </c>
      <c r="T96">
        <v>37</v>
      </c>
      <c r="U96">
        <v>3.09</v>
      </c>
      <c r="V96">
        <v>730407</v>
      </c>
      <c r="W96">
        <v>6333594</v>
      </c>
      <c r="X96">
        <f t="shared" si="10"/>
        <v>8.6713216056253568</v>
      </c>
      <c r="Y96" t="str">
        <f t="shared" si="11"/>
        <v>Weak Product</v>
      </c>
    </row>
    <row r="97" spans="1:25" x14ac:dyDescent="0.3">
      <c r="A97" t="s">
        <v>226</v>
      </c>
      <c r="B97" t="s">
        <v>227</v>
      </c>
      <c r="C97" t="s">
        <v>36</v>
      </c>
      <c r="D97" s="1">
        <v>45609</v>
      </c>
      <c r="E97">
        <v>138</v>
      </c>
      <c r="F97" t="s">
        <v>28</v>
      </c>
      <c r="G97">
        <v>19181</v>
      </c>
      <c r="H97">
        <v>16915</v>
      </c>
      <c r="I97">
        <v>76</v>
      </c>
      <c r="J97">
        <v>119</v>
      </c>
      <c r="K97">
        <v>2282539</v>
      </c>
      <c r="L97">
        <v>298690</v>
      </c>
      <c r="M97">
        <v>1983849</v>
      </c>
      <c r="N97">
        <f t="shared" si="6"/>
        <v>2012885</v>
      </c>
      <c r="O97">
        <f t="shared" si="7"/>
        <v>-29036</v>
      </c>
      <c r="P97">
        <f t="shared" si="8"/>
        <v>-1.4636194589406754E-2</v>
      </c>
      <c r="Q97">
        <v>4</v>
      </c>
      <c r="R97">
        <v>69048</v>
      </c>
      <c r="S97">
        <f t="shared" si="9"/>
        <v>5.2631578947368418E-2</v>
      </c>
      <c r="T97">
        <v>24</v>
      </c>
      <c r="U97">
        <v>2.9</v>
      </c>
      <c r="V97">
        <v>288710</v>
      </c>
      <c r="W97">
        <v>6716908</v>
      </c>
      <c r="X97">
        <f t="shared" si="10"/>
        <v>23.265241938277164</v>
      </c>
      <c r="Y97" t="str">
        <f t="shared" si="11"/>
        <v>Weak Product</v>
      </c>
    </row>
    <row r="98" spans="1:25" x14ac:dyDescent="0.3">
      <c r="A98" t="s">
        <v>228</v>
      </c>
      <c r="B98" t="s">
        <v>229</v>
      </c>
      <c r="C98" t="s">
        <v>36</v>
      </c>
      <c r="D98" s="1">
        <v>45338</v>
      </c>
      <c r="E98">
        <v>409</v>
      </c>
      <c r="F98" t="s">
        <v>28</v>
      </c>
      <c r="G98">
        <v>14582</v>
      </c>
      <c r="H98">
        <v>8958</v>
      </c>
      <c r="I98">
        <v>90</v>
      </c>
      <c r="J98">
        <v>134</v>
      </c>
      <c r="K98">
        <v>1953988</v>
      </c>
      <c r="L98">
        <v>214558</v>
      </c>
      <c r="M98">
        <v>1739430</v>
      </c>
      <c r="N98">
        <f t="shared" si="6"/>
        <v>1200372</v>
      </c>
      <c r="O98">
        <f t="shared" si="7"/>
        <v>539058</v>
      </c>
      <c r="P98">
        <f t="shared" si="8"/>
        <v>0.30990496886911229</v>
      </c>
      <c r="Q98">
        <v>3</v>
      </c>
      <c r="R98">
        <v>39369</v>
      </c>
      <c r="S98">
        <f t="shared" si="9"/>
        <v>3.3333333333333333E-2</v>
      </c>
      <c r="T98">
        <v>43</v>
      </c>
      <c r="U98">
        <v>4.0999999999999996</v>
      </c>
      <c r="V98">
        <v>411110</v>
      </c>
      <c r="W98">
        <v>5727509</v>
      </c>
      <c r="X98">
        <f t="shared" si="10"/>
        <v>13.931816302206222</v>
      </c>
      <c r="Y98" t="str">
        <f t="shared" si="11"/>
        <v>Star</v>
      </c>
    </row>
    <row r="99" spans="1:25" x14ac:dyDescent="0.3">
      <c r="A99" t="s">
        <v>230</v>
      </c>
      <c r="B99" t="s">
        <v>231</v>
      </c>
      <c r="C99" t="s">
        <v>36</v>
      </c>
      <c r="D99" s="1">
        <v>45342</v>
      </c>
      <c r="E99">
        <v>405</v>
      </c>
      <c r="F99" t="s">
        <v>28</v>
      </c>
      <c r="G99">
        <v>11106</v>
      </c>
      <c r="H99">
        <v>7938</v>
      </c>
      <c r="I99">
        <v>28</v>
      </c>
      <c r="J99">
        <v>44</v>
      </c>
      <c r="K99">
        <v>488664</v>
      </c>
      <c r="L99">
        <v>54687</v>
      </c>
      <c r="M99">
        <v>433977</v>
      </c>
      <c r="N99">
        <f t="shared" si="6"/>
        <v>349272</v>
      </c>
      <c r="O99">
        <f t="shared" si="7"/>
        <v>84705</v>
      </c>
      <c r="P99">
        <f t="shared" si="8"/>
        <v>0.19518315486765428</v>
      </c>
      <c r="Q99">
        <v>2</v>
      </c>
      <c r="R99">
        <v>19990</v>
      </c>
      <c r="S99">
        <f t="shared" si="9"/>
        <v>7.1428571428571425E-2</v>
      </c>
      <c r="T99">
        <v>9</v>
      </c>
      <c r="U99">
        <v>3.72</v>
      </c>
      <c r="V99">
        <v>478662</v>
      </c>
      <c r="W99">
        <v>4742158</v>
      </c>
      <c r="X99">
        <f t="shared" si="10"/>
        <v>9.9071119077762599</v>
      </c>
      <c r="Y99" t="str">
        <f t="shared" si="11"/>
        <v>Weak Product</v>
      </c>
    </row>
    <row r="100" spans="1:25" x14ac:dyDescent="0.3">
      <c r="A100" t="s">
        <v>232</v>
      </c>
      <c r="B100" t="s">
        <v>233</v>
      </c>
      <c r="C100" t="s">
        <v>36</v>
      </c>
      <c r="D100" s="1">
        <v>44953</v>
      </c>
      <c r="E100">
        <v>794</v>
      </c>
      <c r="F100" t="s">
        <v>28</v>
      </c>
      <c r="G100">
        <v>10605</v>
      </c>
      <c r="H100">
        <v>8339</v>
      </c>
      <c r="I100">
        <v>61</v>
      </c>
      <c r="J100">
        <v>95</v>
      </c>
      <c r="K100">
        <v>1007475</v>
      </c>
      <c r="L100">
        <v>74631</v>
      </c>
      <c r="M100">
        <v>932844</v>
      </c>
      <c r="N100">
        <f t="shared" si="6"/>
        <v>792205</v>
      </c>
      <c r="O100">
        <f t="shared" si="7"/>
        <v>140639</v>
      </c>
      <c r="P100">
        <f t="shared" si="8"/>
        <v>0.15076368610400023</v>
      </c>
      <c r="Q100">
        <v>2</v>
      </c>
      <c r="R100">
        <v>19088</v>
      </c>
      <c r="S100">
        <f t="shared" si="9"/>
        <v>3.2786885245901641E-2</v>
      </c>
      <c r="T100">
        <v>21</v>
      </c>
      <c r="U100">
        <v>3.33</v>
      </c>
      <c r="V100">
        <v>185390</v>
      </c>
      <c r="W100">
        <v>1902979</v>
      </c>
      <c r="X100">
        <f t="shared" si="10"/>
        <v>10.26473380441232</v>
      </c>
      <c r="Y100" t="str">
        <f t="shared" si="11"/>
        <v>Weak Product</v>
      </c>
    </row>
    <row r="101" spans="1:25" x14ac:dyDescent="0.3">
      <c r="A101" t="s">
        <v>234</v>
      </c>
      <c r="B101" t="s">
        <v>235</v>
      </c>
      <c r="C101" t="s">
        <v>36</v>
      </c>
      <c r="D101" s="1">
        <v>45027</v>
      </c>
      <c r="E101">
        <v>720</v>
      </c>
      <c r="F101" t="s">
        <v>28</v>
      </c>
      <c r="G101">
        <v>15437</v>
      </c>
      <c r="H101">
        <v>11022</v>
      </c>
      <c r="I101">
        <v>74</v>
      </c>
      <c r="J101">
        <v>115</v>
      </c>
      <c r="K101">
        <v>1775255</v>
      </c>
      <c r="L101">
        <v>256329</v>
      </c>
      <c r="M101">
        <v>1518926</v>
      </c>
      <c r="N101">
        <f t="shared" si="6"/>
        <v>1267530</v>
      </c>
      <c r="O101">
        <f t="shared" si="7"/>
        <v>251396</v>
      </c>
      <c r="P101">
        <f t="shared" si="8"/>
        <v>0.16550905047382164</v>
      </c>
      <c r="Q101">
        <v>6</v>
      </c>
      <c r="R101">
        <v>83358</v>
      </c>
      <c r="S101">
        <f t="shared" si="9"/>
        <v>8.1081081081081086E-2</v>
      </c>
      <c r="T101">
        <v>29</v>
      </c>
      <c r="U101">
        <v>3.62</v>
      </c>
      <c r="V101">
        <v>235438</v>
      </c>
      <c r="W101">
        <v>5526949</v>
      </c>
      <c r="X101">
        <f t="shared" si="10"/>
        <v>23.475178178543821</v>
      </c>
      <c r="Y101" t="str">
        <f t="shared" si="11"/>
        <v>Weak Product</v>
      </c>
    </row>
    <row r="102" spans="1:25" x14ac:dyDescent="0.3">
      <c r="A102" t="s">
        <v>236</v>
      </c>
      <c r="B102" t="s">
        <v>237</v>
      </c>
      <c r="C102" t="s">
        <v>36</v>
      </c>
      <c r="D102" s="1">
        <v>45129</v>
      </c>
      <c r="E102">
        <v>618</v>
      </c>
      <c r="F102" t="s">
        <v>28</v>
      </c>
      <c r="G102">
        <v>9049</v>
      </c>
      <c r="H102">
        <v>5907</v>
      </c>
      <c r="I102">
        <v>63</v>
      </c>
      <c r="J102">
        <v>95</v>
      </c>
      <c r="K102">
        <v>859655</v>
      </c>
      <c r="L102">
        <v>162389</v>
      </c>
      <c r="M102">
        <v>697266</v>
      </c>
      <c r="N102">
        <f t="shared" si="6"/>
        <v>561165</v>
      </c>
      <c r="O102">
        <f t="shared" si="7"/>
        <v>136101</v>
      </c>
      <c r="P102">
        <f t="shared" si="8"/>
        <v>0.19519236561082859</v>
      </c>
      <c r="Q102">
        <v>2</v>
      </c>
      <c r="R102">
        <v>16288</v>
      </c>
      <c r="S102">
        <f t="shared" si="9"/>
        <v>3.1746031746031744E-2</v>
      </c>
      <c r="T102">
        <v>25</v>
      </c>
      <c r="U102">
        <v>4.04</v>
      </c>
      <c r="V102">
        <v>298928</v>
      </c>
      <c r="W102">
        <v>2655717</v>
      </c>
      <c r="X102">
        <f t="shared" si="10"/>
        <v>8.8841359792324575</v>
      </c>
      <c r="Y102" t="str">
        <f t="shared" si="11"/>
        <v>Star</v>
      </c>
    </row>
    <row r="103" spans="1:25" x14ac:dyDescent="0.3">
      <c r="A103" t="s">
        <v>238</v>
      </c>
      <c r="B103" t="s">
        <v>239</v>
      </c>
      <c r="C103" t="s">
        <v>36</v>
      </c>
      <c r="D103" s="1">
        <v>44849</v>
      </c>
      <c r="E103">
        <v>898</v>
      </c>
      <c r="F103" t="s">
        <v>28</v>
      </c>
      <c r="G103">
        <v>5488</v>
      </c>
      <c r="H103">
        <v>4171</v>
      </c>
      <c r="I103">
        <v>126</v>
      </c>
      <c r="J103">
        <v>194</v>
      </c>
      <c r="K103">
        <v>1064672</v>
      </c>
      <c r="L103">
        <v>132365</v>
      </c>
      <c r="M103">
        <v>932307</v>
      </c>
      <c r="N103">
        <f t="shared" si="6"/>
        <v>809174</v>
      </c>
      <c r="O103">
        <f t="shared" si="7"/>
        <v>123133</v>
      </c>
      <c r="P103">
        <f t="shared" si="8"/>
        <v>0.13207344790932601</v>
      </c>
      <c r="Q103">
        <v>15</v>
      </c>
      <c r="R103">
        <v>74085</v>
      </c>
      <c r="S103">
        <f t="shared" si="9"/>
        <v>0.11904761904761904</v>
      </c>
      <c r="T103">
        <v>56</v>
      </c>
      <c r="U103">
        <v>3.57</v>
      </c>
      <c r="V103">
        <v>331412</v>
      </c>
      <c r="W103">
        <v>753771</v>
      </c>
      <c r="X103">
        <f t="shared" si="10"/>
        <v>2.2744227728627813</v>
      </c>
      <c r="Y103" t="str">
        <f t="shared" si="11"/>
        <v>Weak Product</v>
      </c>
    </row>
    <row r="104" spans="1:25" x14ac:dyDescent="0.3">
      <c r="A104" t="s">
        <v>240</v>
      </c>
      <c r="B104" t="s">
        <v>241</v>
      </c>
      <c r="C104" t="s">
        <v>36</v>
      </c>
      <c r="D104" s="1">
        <v>45568</v>
      </c>
      <c r="E104">
        <v>179</v>
      </c>
      <c r="F104" t="s">
        <v>28</v>
      </c>
      <c r="G104">
        <v>5344</v>
      </c>
      <c r="H104">
        <v>3611</v>
      </c>
      <c r="I104">
        <v>159</v>
      </c>
      <c r="J104">
        <v>240</v>
      </c>
      <c r="K104">
        <v>1282560</v>
      </c>
      <c r="L104">
        <v>155383</v>
      </c>
      <c r="M104">
        <v>1127177</v>
      </c>
      <c r="N104">
        <f t="shared" si="6"/>
        <v>866640</v>
      </c>
      <c r="O104">
        <f t="shared" si="7"/>
        <v>260537</v>
      </c>
      <c r="P104">
        <f t="shared" si="8"/>
        <v>0.23114116061630072</v>
      </c>
      <c r="Q104">
        <v>6</v>
      </c>
      <c r="R104">
        <v>28854</v>
      </c>
      <c r="S104">
        <f t="shared" si="9"/>
        <v>3.7735849056603772E-2</v>
      </c>
      <c r="T104">
        <v>62</v>
      </c>
      <c r="U104">
        <v>3.72</v>
      </c>
      <c r="V104">
        <v>318534</v>
      </c>
      <c r="W104">
        <v>1984977</v>
      </c>
      <c r="X104">
        <f t="shared" si="10"/>
        <v>6.2316016500593348</v>
      </c>
      <c r="Y104" t="str">
        <f t="shared" si="11"/>
        <v>Weak Product</v>
      </c>
    </row>
    <row r="105" spans="1:25" x14ac:dyDescent="0.3">
      <c r="A105" t="s">
        <v>242</v>
      </c>
      <c r="B105" t="s">
        <v>243</v>
      </c>
      <c r="C105" t="s">
        <v>36</v>
      </c>
      <c r="D105" s="1">
        <v>45227</v>
      </c>
      <c r="E105">
        <v>520</v>
      </c>
      <c r="F105" t="s">
        <v>28</v>
      </c>
      <c r="G105">
        <v>15266</v>
      </c>
      <c r="H105">
        <v>9952</v>
      </c>
      <c r="I105">
        <v>72</v>
      </c>
      <c r="J105">
        <v>115</v>
      </c>
      <c r="K105">
        <v>1755590</v>
      </c>
      <c r="L105">
        <v>272858</v>
      </c>
      <c r="M105">
        <v>1482732</v>
      </c>
      <c r="N105">
        <f t="shared" si="6"/>
        <v>1144480</v>
      </c>
      <c r="O105">
        <f t="shared" si="7"/>
        <v>338252</v>
      </c>
      <c r="P105">
        <f t="shared" si="8"/>
        <v>0.22812753754555778</v>
      </c>
      <c r="Q105">
        <v>6</v>
      </c>
      <c r="R105">
        <v>82434</v>
      </c>
      <c r="S105">
        <f t="shared" si="9"/>
        <v>8.3333333333333329E-2</v>
      </c>
      <c r="T105">
        <v>28</v>
      </c>
      <c r="U105">
        <v>3.57</v>
      </c>
      <c r="V105">
        <v>502581</v>
      </c>
      <c r="W105">
        <v>8156668</v>
      </c>
      <c r="X105">
        <f t="shared" si="10"/>
        <v>16.229559016357562</v>
      </c>
      <c r="Y105" t="str">
        <f t="shared" si="11"/>
        <v>Weak Product</v>
      </c>
    </row>
    <row r="106" spans="1:25" x14ac:dyDescent="0.3">
      <c r="A106" t="s">
        <v>244</v>
      </c>
      <c r="B106" t="s">
        <v>245</v>
      </c>
      <c r="C106" t="s">
        <v>36</v>
      </c>
      <c r="D106" s="1">
        <v>45641</v>
      </c>
      <c r="E106">
        <v>106</v>
      </c>
      <c r="F106" t="s">
        <v>28</v>
      </c>
      <c r="G106">
        <v>13895</v>
      </c>
      <c r="H106">
        <v>10380</v>
      </c>
      <c r="I106">
        <v>47</v>
      </c>
      <c r="J106">
        <v>70</v>
      </c>
      <c r="K106">
        <v>972650</v>
      </c>
      <c r="L106">
        <v>122655</v>
      </c>
      <c r="M106">
        <v>849995</v>
      </c>
      <c r="N106">
        <f t="shared" si="6"/>
        <v>726600</v>
      </c>
      <c r="O106">
        <f t="shared" si="7"/>
        <v>123395</v>
      </c>
      <c r="P106">
        <f t="shared" si="8"/>
        <v>0.14517144218495404</v>
      </c>
      <c r="Q106">
        <v>1</v>
      </c>
      <c r="R106">
        <v>12505</v>
      </c>
      <c r="S106">
        <f t="shared" si="9"/>
        <v>2.1276595744680851E-2</v>
      </c>
      <c r="T106">
        <v>22</v>
      </c>
      <c r="U106">
        <v>3.66</v>
      </c>
      <c r="V106">
        <v>308116</v>
      </c>
      <c r="W106">
        <v>3395328</v>
      </c>
      <c r="X106">
        <f t="shared" si="10"/>
        <v>11.019641953030677</v>
      </c>
      <c r="Y106" t="str">
        <f t="shared" si="11"/>
        <v>Weak Product</v>
      </c>
    </row>
    <row r="107" spans="1:25" x14ac:dyDescent="0.3">
      <c r="A107" t="s">
        <v>246</v>
      </c>
      <c r="B107" t="s">
        <v>247</v>
      </c>
      <c r="C107" t="s">
        <v>36</v>
      </c>
      <c r="D107" s="1">
        <v>45292</v>
      </c>
      <c r="E107">
        <v>455</v>
      </c>
      <c r="F107" t="s">
        <v>28</v>
      </c>
      <c r="G107">
        <v>16343</v>
      </c>
      <c r="H107">
        <v>8345</v>
      </c>
      <c r="I107">
        <v>30</v>
      </c>
      <c r="J107">
        <v>48</v>
      </c>
      <c r="K107">
        <v>784464</v>
      </c>
      <c r="L107">
        <v>103217</v>
      </c>
      <c r="M107">
        <v>681247</v>
      </c>
      <c r="N107">
        <f t="shared" si="6"/>
        <v>400560</v>
      </c>
      <c r="O107">
        <f t="shared" si="7"/>
        <v>280687</v>
      </c>
      <c r="P107">
        <f t="shared" si="8"/>
        <v>0.41201942907638495</v>
      </c>
      <c r="Q107">
        <v>2</v>
      </c>
      <c r="R107">
        <v>29416</v>
      </c>
      <c r="S107">
        <f t="shared" si="9"/>
        <v>6.6666666666666666E-2</v>
      </c>
      <c r="T107">
        <v>14</v>
      </c>
      <c r="U107">
        <v>4.29</v>
      </c>
      <c r="V107">
        <v>92302</v>
      </c>
      <c r="W107">
        <v>2268159</v>
      </c>
      <c r="X107">
        <f t="shared" si="10"/>
        <v>24.573237849667397</v>
      </c>
      <c r="Y107" t="str">
        <f t="shared" si="11"/>
        <v>Hidden Opportunity</v>
      </c>
    </row>
    <row r="108" spans="1:25" x14ac:dyDescent="0.3">
      <c r="A108" t="s">
        <v>248</v>
      </c>
      <c r="B108" t="s">
        <v>249</v>
      </c>
      <c r="C108" t="s">
        <v>36</v>
      </c>
      <c r="D108" s="1">
        <v>45079</v>
      </c>
      <c r="E108">
        <v>668</v>
      </c>
      <c r="F108" t="s">
        <v>28</v>
      </c>
      <c r="G108">
        <v>6480</v>
      </c>
      <c r="H108">
        <v>2972</v>
      </c>
      <c r="I108">
        <v>58</v>
      </c>
      <c r="J108">
        <v>86</v>
      </c>
      <c r="K108">
        <v>557280</v>
      </c>
      <c r="L108">
        <v>81924</v>
      </c>
      <c r="M108">
        <v>475356</v>
      </c>
      <c r="N108">
        <f t="shared" si="6"/>
        <v>255592</v>
      </c>
      <c r="O108">
        <f t="shared" si="7"/>
        <v>219764</v>
      </c>
      <c r="P108">
        <f t="shared" si="8"/>
        <v>0.46231456003500532</v>
      </c>
      <c r="Q108">
        <v>6</v>
      </c>
      <c r="R108">
        <v>34992</v>
      </c>
      <c r="S108">
        <f t="shared" si="9"/>
        <v>0.10344827586206896</v>
      </c>
      <c r="T108">
        <v>24</v>
      </c>
      <c r="U108">
        <v>4.5599999999999996</v>
      </c>
      <c r="V108">
        <v>515596</v>
      </c>
      <c r="W108">
        <v>4256436</v>
      </c>
      <c r="X108">
        <f t="shared" si="10"/>
        <v>8.2553704838672139</v>
      </c>
      <c r="Y108" t="str">
        <f t="shared" si="11"/>
        <v>Weak Product</v>
      </c>
    </row>
    <row r="109" spans="1:25" x14ac:dyDescent="0.3">
      <c r="A109" t="s">
        <v>250</v>
      </c>
      <c r="B109" t="s">
        <v>251</v>
      </c>
      <c r="C109" t="s">
        <v>36</v>
      </c>
      <c r="D109" s="1">
        <v>45514</v>
      </c>
      <c r="E109">
        <v>233</v>
      </c>
      <c r="F109" t="s">
        <v>28</v>
      </c>
      <c r="G109">
        <v>12791</v>
      </c>
      <c r="H109">
        <v>9289</v>
      </c>
      <c r="I109">
        <v>93</v>
      </c>
      <c r="J109">
        <v>141</v>
      </c>
      <c r="K109">
        <v>1803531</v>
      </c>
      <c r="L109">
        <v>288456</v>
      </c>
      <c r="M109">
        <v>1515075</v>
      </c>
      <c r="N109">
        <f t="shared" si="6"/>
        <v>1309749</v>
      </c>
      <c r="O109">
        <f t="shared" si="7"/>
        <v>205326</v>
      </c>
      <c r="P109">
        <f t="shared" si="8"/>
        <v>0.13552200386119498</v>
      </c>
      <c r="Q109">
        <v>2</v>
      </c>
      <c r="R109">
        <v>23022</v>
      </c>
      <c r="S109">
        <f t="shared" si="9"/>
        <v>2.1505376344086023E-2</v>
      </c>
      <c r="T109">
        <v>41</v>
      </c>
      <c r="U109">
        <v>3.73</v>
      </c>
      <c r="V109">
        <v>205030</v>
      </c>
      <c r="W109">
        <v>2454214</v>
      </c>
      <c r="X109">
        <f t="shared" si="10"/>
        <v>11.970023898941617</v>
      </c>
      <c r="Y109" t="str">
        <f t="shared" si="11"/>
        <v>Weak Product</v>
      </c>
    </row>
    <row r="110" spans="1:25" x14ac:dyDescent="0.3">
      <c r="A110" t="s">
        <v>252</v>
      </c>
      <c r="B110" t="s">
        <v>253</v>
      </c>
      <c r="C110" t="s">
        <v>36</v>
      </c>
      <c r="D110" s="1">
        <v>45285</v>
      </c>
      <c r="E110">
        <v>462</v>
      </c>
      <c r="F110" t="s">
        <v>28</v>
      </c>
      <c r="G110">
        <v>11177</v>
      </c>
      <c r="H110">
        <v>5685</v>
      </c>
      <c r="I110">
        <v>74</v>
      </c>
      <c r="J110">
        <v>118</v>
      </c>
      <c r="K110">
        <v>1318886</v>
      </c>
      <c r="L110">
        <v>205605</v>
      </c>
      <c r="M110">
        <v>1113281</v>
      </c>
      <c r="N110">
        <f t="shared" si="6"/>
        <v>670830</v>
      </c>
      <c r="O110">
        <f t="shared" si="7"/>
        <v>442451</v>
      </c>
      <c r="P110">
        <f t="shared" si="8"/>
        <v>0.39742975942282316</v>
      </c>
      <c r="Q110">
        <v>7</v>
      </c>
      <c r="R110">
        <v>70413</v>
      </c>
      <c r="S110">
        <f t="shared" si="9"/>
        <v>9.45945945945946E-2</v>
      </c>
      <c r="T110">
        <v>21</v>
      </c>
      <c r="U110">
        <v>4.55</v>
      </c>
      <c r="V110">
        <v>649440</v>
      </c>
      <c r="W110">
        <v>6634881</v>
      </c>
      <c r="X110">
        <f t="shared" si="10"/>
        <v>10.216310975609757</v>
      </c>
      <c r="Y110" t="str">
        <f t="shared" si="11"/>
        <v>Weak Product</v>
      </c>
    </row>
    <row r="111" spans="1:25" x14ac:dyDescent="0.3">
      <c r="A111" t="s">
        <v>254</v>
      </c>
      <c r="B111" t="s">
        <v>255</v>
      </c>
      <c r="C111" t="s">
        <v>36</v>
      </c>
      <c r="D111" s="1">
        <v>45106</v>
      </c>
      <c r="E111">
        <v>641</v>
      </c>
      <c r="F111" t="s">
        <v>28</v>
      </c>
      <c r="G111">
        <v>2750</v>
      </c>
      <c r="H111">
        <v>1894</v>
      </c>
      <c r="I111">
        <v>138</v>
      </c>
      <c r="J111">
        <v>216</v>
      </c>
      <c r="K111">
        <v>594000</v>
      </c>
      <c r="L111">
        <v>99372</v>
      </c>
      <c r="M111">
        <v>494628</v>
      </c>
      <c r="N111">
        <f t="shared" si="6"/>
        <v>409104</v>
      </c>
      <c r="O111">
        <f t="shared" si="7"/>
        <v>85524</v>
      </c>
      <c r="P111">
        <f t="shared" si="8"/>
        <v>0.1729056988282103</v>
      </c>
      <c r="Q111">
        <v>5</v>
      </c>
      <c r="R111">
        <v>12375</v>
      </c>
      <c r="S111">
        <f t="shared" si="9"/>
        <v>3.6231884057971016E-2</v>
      </c>
      <c r="T111">
        <v>55</v>
      </c>
      <c r="U111">
        <v>3.71</v>
      </c>
      <c r="V111">
        <v>372339</v>
      </c>
      <c r="W111">
        <v>901172</v>
      </c>
      <c r="X111">
        <f t="shared" si="10"/>
        <v>2.4202997805763027</v>
      </c>
      <c r="Y111" t="str">
        <f t="shared" si="11"/>
        <v>Weak Product</v>
      </c>
    </row>
    <row r="112" spans="1:25" x14ac:dyDescent="0.3">
      <c r="A112" t="s">
        <v>256</v>
      </c>
      <c r="B112" t="s">
        <v>257</v>
      </c>
      <c r="C112" t="s">
        <v>36</v>
      </c>
      <c r="D112" s="1">
        <v>45476</v>
      </c>
      <c r="E112">
        <v>271</v>
      </c>
      <c r="F112" t="s">
        <v>28</v>
      </c>
      <c r="G112">
        <v>12751</v>
      </c>
      <c r="H112">
        <v>6001</v>
      </c>
      <c r="I112">
        <v>47</v>
      </c>
      <c r="J112">
        <v>71</v>
      </c>
      <c r="K112">
        <v>905321</v>
      </c>
      <c r="L112">
        <v>127362</v>
      </c>
      <c r="M112">
        <v>777959</v>
      </c>
      <c r="N112">
        <f t="shared" si="6"/>
        <v>426071</v>
      </c>
      <c r="O112">
        <f t="shared" si="7"/>
        <v>351888</v>
      </c>
      <c r="P112">
        <f t="shared" si="8"/>
        <v>0.45232203753668254</v>
      </c>
      <c r="Q112">
        <v>3</v>
      </c>
      <c r="R112">
        <v>34425</v>
      </c>
      <c r="S112">
        <f t="shared" si="9"/>
        <v>6.3829787234042548E-2</v>
      </c>
      <c r="T112">
        <v>16</v>
      </c>
      <c r="U112">
        <v>4.66</v>
      </c>
      <c r="V112">
        <v>497718</v>
      </c>
      <c r="W112">
        <v>12225139</v>
      </c>
      <c r="X112">
        <f t="shared" si="10"/>
        <v>24.562380705540086</v>
      </c>
      <c r="Y112" t="str">
        <f t="shared" si="11"/>
        <v>Weak Product</v>
      </c>
    </row>
    <row r="113" spans="1:25" x14ac:dyDescent="0.3">
      <c r="A113" t="s">
        <v>258</v>
      </c>
      <c r="B113" t="s">
        <v>259</v>
      </c>
      <c r="C113" t="s">
        <v>36</v>
      </c>
      <c r="D113" s="1">
        <v>45599</v>
      </c>
      <c r="E113">
        <v>148</v>
      </c>
      <c r="F113" t="s">
        <v>28</v>
      </c>
      <c r="G113">
        <v>9715</v>
      </c>
      <c r="H113">
        <v>4383</v>
      </c>
      <c r="I113">
        <v>103</v>
      </c>
      <c r="J113">
        <v>152</v>
      </c>
      <c r="K113">
        <v>1476680</v>
      </c>
      <c r="L113">
        <v>179876</v>
      </c>
      <c r="M113">
        <v>1296804</v>
      </c>
      <c r="N113">
        <f t="shared" si="6"/>
        <v>666216</v>
      </c>
      <c r="O113">
        <f t="shared" si="7"/>
        <v>630588</v>
      </c>
      <c r="P113">
        <f t="shared" si="8"/>
        <v>0.48626315156338196</v>
      </c>
      <c r="Q113">
        <v>3</v>
      </c>
      <c r="R113">
        <v>26229</v>
      </c>
      <c r="S113">
        <f t="shared" si="9"/>
        <v>2.9126213592233011E-2</v>
      </c>
      <c r="T113">
        <v>36</v>
      </c>
      <c r="U113">
        <v>4.5999999999999996</v>
      </c>
      <c r="V113">
        <v>643169</v>
      </c>
      <c r="W113">
        <v>8054885</v>
      </c>
      <c r="X113">
        <f t="shared" si="10"/>
        <v>12.523745702917896</v>
      </c>
      <c r="Y113" t="str">
        <f t="shared" si="11"/>
        <v>Star</v>
      </c>
    </row>
    <row r="114" spans="1:25" x14ac:dyDescent="0.3">
      <c r="A114" t="s">
        <v>260</v>
      </c>
      <c r="B114" t="s">
        <v>261</v>
      </c>
      <c r="C114" t="s">
        <v>36</v>
      </c>
      <c r="D114" s="1">
        <v>44864</v>
      </c>
      <c r="E114">
        <v>883</v>
      </c>
      <c r="F114" t="s">
        <v>28</v>
      </c>
      <c r="G114">
        <v>5750</v>
      </c>
      <c r="H114">
        <v>3379</v>
      </c>
      <c r="I114">
        <v>130</v>
      </c>
      <c r="J114">
        <v>195</v>
      </c>
      <c r="K114">
        <v>1121250</v>
      </c>
      <c r="L114">
        <v>202736</v>
      </c>
      <c r="M114">
        <v>918514</v>
      </c>
      <c r="N114">
        <f t="shared" si="6"/>
        <v>658905</v>
      </c>
      <c r="O114">
        <f t="shared" si="7"/>
        <v>259609</v>
      </c>
      <c r="P114">
        <f t="shared" si="8"/>
        <v>0.28264022105270031</v>
      </c>
      <c r="Q114">
        <v>4</v>
      </c>
      <c r="R114">
        <v>20700</v>
      </c>
      <c r="S114">
        <f t="shared" si="9"/>
        <v>3.0769230769230771E-2</v>
      </c>
      <c r="T114">
        <v>51</v>
      </c>
      <c r="U114">
        <v>4.21</v>
      </c>
      <c r="V114">
        <v>192799</v>
      </c>
      <c r="W114">
        <v>801679</v>
      </c>
      <c r="X114">
        <f t="shared" si="10"/>
        <v>4.1581076665335397</v>
      </c>
      <c r="Y114" t="str">
        <f t="shared" si="11"/>
        <v>Star</v>
      </c>
    </row>
    <row r="115" spans="1:25" x14ac:dyDescent="0.3">
      <c r="A115" t="s">
        <v>262</v>
      </c>
      <c r="B115" t="s">
        <v>263</v>
      </c>
      <c r="C115" t="s">
        <v>36</v>
      </c>
      <c r="D115" s="1">
        <v>45533</v>
      </c>
      <c r="E115">
        <v>214</v>
      </c>
      <c r="F115" t="s">
        <v>28</v>
      </c>
      <c r="G115">
        <v>17704</v>
      </c>
      <c r="H115">
        <v>12650</v>
      </c>
      <c r="I115">
        <v>72</v>
      </c>
      <c r="J115">
        <v>100</v>
      </c>
      <c r="K115">
        <v>1770400</v>
      </c>
      <c r="L115">
        <v>319715</v>
      </c>
      <c r="M115">
        <v>1450685</v>
      </c>
      <c r="N115">
        <f t="shared" si="6"/>
        <v>1265000</v>
      </c>
      <c r="O115">
        <f t="shared" si="7"/>
        <v>185685</v>
      </c>
      <c r="P115">
        <f t="shared" si="8"/>
        <v>0.12799815259687664</v>
      </c>
      <c r="Q115">
        <v>4</v>
      </c>
      <c r="R115">
        <v>63732</v>
      </c>
      <c r="S115">
        <f t="shared" si="9"/>
        <v>5.5555555555555552E-2</v>
      </c>
      <c r="T115">
        <v>22</v>
      </c>
      <c r="U115">
        <v>3.57</v>
      </c>
      <c r="V115">
        <v>434873</v>
      </c>
      <c r="W115">
        <v>9804488</v>
      </c>
      <c r="X115">
        <f t="shared" si="10"/>
        <v>22.545635162449727</v>
      </c>
      <c r="Y115" t="str">
        <f t="shared" si="11"/>
        <v>Weak Product</v>
      </c>
    </row>
    <row r="116" spans="1:25" x14ac:dyDescent="0.3">
      <c r="A116" t="s">
        <v>264</v>
      </c>
      <c r="B116" t="s">
        <v>265</v>
      </c>
      <c r="C116" t="s">
        <v>36</v>
      </c>
      <c r="D116" s="1">
        <v>45307</v>
      </c>
      <c r="E116">
        <v>440</v>
      </c>
      <c r="F116" t="s">
        <v>28</v>
      </c>
      <c r="G116">
        <v>19407</v>
      </c>
      <c r="H116">
        <v>16216</v>
      </c>
      <c r="I116">
        <v>29</v>
      </c>
      <c r="J116">
        <v>43</v>
      </c>
      <c r="K116">
        <v>834501</v>
      </c>
      <c r="L116">
        <v>155279</v>
      </c>
      <c r="M116">
        <v>679222</v>
      </c>
      <c r="N116">
        <f t="shared" si="6"/>
        <v>697288</v>
      </c>
      <c r="O116">
        <f t="shared" si="7"/>
        <v>-18066</v>
      </c>
      <c r="P116">
        <f t="shared" si="8"/>
        <v>-2.6598078389687023E-2</v>
      </c>
      <c r="Q116">
        <v>5</v>
      </c>
      <c r="R116">
        <v>87330</v>
      </c>
      <c r="S116">
        <f t="shared" si="9"/>
        <v>0.17241379310344829</v>
      </c>
      <c r="T116">
        <v>13</v>
      </c>
      <c r="U116">
        <v>2.77</v>
      </c>
      <c r="V116">
        <v>518545</v>
      </c>
      <c r="W116">
        <v>14175221</v>
      </c>
      <c r="X116">
        <f t="shared" si="10"/>
        <v>27.33653009864139</v>
      </c>
      <c r="Y116" t="str">
        <f t="shared" si="11"/>
        <v>Weak Product</v>
      </c>
    </row>
    <row r="117" spans="1:25" x14ac:dyDescent="0.3">
      <c r="A117" t="s">
        <v>266</v>
      </c>
      <c r="B117" t="s">
        <v>267</v>
      </c>
      <c r="C117" t="s">
        <v>36</v>
      </c>
      <c r="D117" s="1">
        <v>45188</v>
      </c>
      <c r="E117">
        <v>559</v>
      </c>
      <c r="F117" t="s">
        <v>28</v>
      </c>
      <c r="G117">
        <v>5475</v>
      </c>
      <c r="H117">
        <v>4745</v>
      </c>
      <c r="I117">
        <v>77</v>
      </c>
      <c r="J117">
        <v>118</v>
      </c>
      <c r="K117">
        <v>646050</v>
      </c>
      <c r="L117">
        <v>54220</v>
      </c>
      <c r="M117">
        <v>591830</v>
      </c>
      <c r="N117">
        <f t="shared" si="6"/>
        <v>559910</v>
      </c>
      <c r="O117">
        <f t="shared" si="7"/>
        <v>31920</v>
      </c>
      <c r="P117">
        <f t="shared" si="8"/>
        <v>5.3934406839801968E-2</v>
      </c>
      <c r="Q117">
        <v>9</v>
      </c>
      <c r="R117">
        <v>44343</v>
      </c>
      <c r="S117">
        <f t="shared" si="9"/>
        <v>0.11688311688311688</v>
      </c>
      <c r="T117">
        <v>29</v>
      </c>
      <c r="U117">
        <v>3.21</v>
      </c>
      <c r="V117">
        <v>115271</v>
      </c>
      <c r="W117">
        <v>284547</v>
      </c>
      <c r="X117">
        <f t="shared" si="10"/>
        <v>2.4685046542495512</v>
      </c>
      <c r="Y117" t="str">
        <f t="shared" si="11"/>
        <v>Weak Product</v>
      </c>
    </row>
    <row r="118" spans="1:25" x14ac:dyDescent="0.3">
      <c r="A118" t="s">
        <v>268</v>
      </c>
      <c r="B118" t="s">
        <v>269</v>
      </c>
      <c r="C118" t="s">
        <v>36</v>
      </c>
      <c r="D118" s="1">
        <v>45329</v>
      </c>
      <c r="E118">
        <v>418</v>
      </c>
      <c r="F118" t="s">
        <v>28</v>
      </c>
      <c r="G118">
        <v>6826</v>
      </c>
      <c r="H118">
        <v>3073</v>
      </c>
      <c r="I118">
        <v>109</v>
      </c>
      <c r="J118">
        <v>169</v>
      </c>
      <c r="K118">
        <v>1153594</v>
      </c>
      <c r="L118">
        <v>184901</v>
      </c>
      <c r="M118">
        <v>968693</v>
      </c>
      <c r="N118">
        <f t="shared" si="6"/>
        <v>519337</v>
      </c>
      <c r="O118">
        <f t="shared" si="7"/>
        <v>449356</v>
      </c>
      <c r="P118">
        <f t="shared" si="8"/>
        <v>0.46387864885985547</v>
      </c>
      <c r="Q118">
        <v>8</v>
      </c>
      <c r="R118">
        <v>49144</v>
      </c>
      <c r="S118">
        <f t="shared" si="9"/>
        <v>7.3394495412844041E-2</v>
      </c>
      <c r="T118">
        <v>43</v>
      </c>
      <c r="U118">
        <v>4.4800000000000004</v>
      </c>
      <c r="V118">
        <v>543988</v>
      </c>
      <c r="W118">
        <v>4772724</v>
      </c>
      <c r="X118">
        <f t="shared" si="10"/>
        <v>8.7735832408067829</v>
      </c>
      <c r="Y118" t="str">
        <f t="shared" si="11"/>
        <v>Weak Product</v>
      </c>
    </row>
    <row r="119" spans="1:25" x14ac:dyDescent="0.3">
      <c r="A119" t="s">
        <v>270</v>
      </c>
      <c r="B119" t="s">
        <v>271</v>
      </c>
      <c r="C119" t="s">
        <v>36</v>
      </c>
      <c r="D119" s="1">
        <v>45509</v>
      </c>
      <c r="E119">
        <v>238</v>
      </c>
      <c r="F119" t="s">
        <v>28</v>
      </c>
      <c r="G119">
        <v>1017</v>
      </c>
      <c r="H119">
        <v>467</v>
      </c>
      <c r="I119">
        <v>131</v>
      </c>
      <c r="J119">
        <v>193</v>
      </c>
      <c r="K119">
        <v>196281</v>
      </c>
      <c r="L119">
        <v>24972</v>
      </c>
      <c r="M119">
        <v>171309</v>
      </c>
      <c r="N119">
        <f t="shared" si="6"/>
        <v>90131</v>
      </c>
      <c r="O119">
        <f t="shared" si="7"/>
        <v>81178</v>
      </c>
      <c r="P119">
        <f t="shared" si="8"/>
        <v>0.47386885686099389</v>
      </c>
      <c r="Q119">
        <v>8</v>
      </c>
      <c r="R119">
        <v>7320</v>
      </c>
      <c r="S119">
        <f t="shared" si="9"/>
        <v>6.1068702290076333E-2</v>
      </c>
      <c r="T119">
        <v>45</v>
      </c>
      <c r="U119">
        <v>4.4400000000000004</v>
      </c>
      <c r="V119">
        <v>688759</v>
      </c>
      <c r="W119">
        <v>933110</v>
      </c>
      <c r="X119">
        <f t="shared" si="10"/>
        <v>1.3547699558190891</v>
      </c>
      <c r="Y119" t="str">
        <f t="shared" si="11"/>
        <v>Weak Product</v>
      </c>
    </row>
    <row r="120" spans="1:25" x14ac:dyDescent="0.3">
      <c r="A120" t="s">
        <v>272</v>
      </c>
      <c r="B120" t="s">
        <v>273</v>
      </c>
      <c r="C120" t="s">
        <v>36</v>
      </c>
      <c r="D120" s="1">
        <v>45128</v>
      </c>
      <c r="E120">
        <v>619</v>
      </c>
      <c r="F120" t="s">
        <v>28</v>
      </c>
      <c r="G120">
        <v>16575</v>
      </c>
      <c r="H120">
        <v>8705</v>
      </c>
      <c r="I120">
        <v>51</v>
      </c>
      <c r="J120">
        <v>75</v>
      </c>
      <c r="K120">
        <v>1243125</v>
      </c>
      <c r="L120">
        <v>228947</v>
      </c>
      <c r="M120">
        <v>1014178</v>
      </c>
      <c r="N120">
        <f t="shared" si="6"/>
        <v>652875</v>
      </c>
      <c r="O120">
        <f t="shared" si="7"/>
        <v>361303</v>
      </c>
      <c r="P120">
        <f t="shared" si="8"/>
        <v>0.35625205831717904</v>
      </c>
      <c r="Q120">
        <v>3</v>
      </c>
      <c r="R120">
        <v>44751</v>
      </c>
      <c r="S120">
        <f t="shared" si="9"/>
        <v>5.8823529411764705E-2</v>
      </c>
      <c r="T120">
        <v>22</v>
      </c>
      <c r="U120">
        <v>4.1399999999999997</v>
      </c>
      <c r="V120">
        <v>202131</v>
      </c>
      <c r="W120">
        <v>2011650</v>
      </c>
      <c r="X120">
        <f t="shared" si="10"/>
        <v>9.9522092108583049</v>
      </c>
      <c r="Y120" t="str">
        <f t="shared" si="11"/>
        <v>Weak Product</v>
      </c>
    </row>
    <row r="121" spans="1:25" x14ac:dyDescent="0.3">
      <c r="A121" t="s">
        <v>274</v>
      </c>
      <c r="B121" t="s">
        <v>275</v>
      </c>
      <c r="C121" t="s">
        <v>36</v>
      </c>
      <c r="D121" s="1">
        <v>45573</v>
      </c>
      <c r="E121">
        <v>174</v>
      </c>
      <c r="F121" t="s">
        <v>28</v>
      </c>
      <c r="G121">
        <v>8511</v>
      </c>
      <c r="H121">
        <v>5064</v>
      </c>
      <c r="I121">
        <v>58</v>
      </c>
      <c r="J121">
        <v>84</v>
      </c>
      <c r="K121">
        <v>714924</v>
      </c>
      <c r="L121">
        <v>92812</v>
      </c>
      <c r="M121">
        <v>622112</v>
      </c>
      <c r="N121">
        <f t="shared" si="6"/>
        <v>425376</v>
      </c>
      <c r="O121">
        <f t="shared" si="7"/>
        <v>196736</v>
      </c>
      <c r="P121">
        <f t="shared" si="8"/>
        <v>0.31623887660099786</v>
      </c>
      <c r="Q121">
        <v>10</v>
      </c>
      <c r="R121">
        <v>76590</v>
      </c>
      <c r="S121">
        <f t="shared" si="9"/>
        <v>0.17241379310344829</v>
      </c>
      <c r="T121">
        <v>25</v>
      </c>
      <c r="U121">
        <v>3.94</v>
      </c>
      <c r="V121">
        <v>238203</v>
      </c>
      <c r="W121">
        <v>2710343</v>
      </c>
      <c r="X121">
        <f t="shared" si="10"/>
        <v>11.378290785590442</v>
      </c>
      <c r="Y121" t="str">
        <f t="shared" si="11"/>
        <v>Weak Product</v>
      </c>
    </row>
    <row r="122" spans="1:25" x14ac:dyDescent="0.3">
      <c r="A122" t="s">
        <v>276</v>
      </c>
      <c r="B122" t="s">
        <v>277</v>
      </c>
      <c r="C122" t="s">
        <v>36</v>
      </c>
      <c r="D122" s="1">
        <v>44869</v>
      </c>
      <c r="E122">
        <v>878</v>
      </c>
      <c r="F122" t="s">
        <v>28</v>
      </c>
      <c r="G122">
        <v>10422</v>
      </c>
      <c r="H122">
        <v>5681</v>
      </c>
      <c r="I122">
        <v>48</v>
      </c>
      <c r="J122">
        <v>70</v>
      </c>
      <c r="K122">
        <v>729540</v>
      </c>
      <c r="L122">
        <v>109259</v>
      </c>
      <c r="M122">
        <v>620281</v>
      </c>
      <c r="N122">
        <f t="shared" si="6"/>
        <v>397670</v>
      </c>
      <c r="O122">
        <f t="shared" si="7"/>
        <v>222611</v>
      </c>
      <c r="P122">
        <f t="shared" si="8"/>
        <v>0.358887342994546</v>
      </c>
      <c r="Q122">
        <v>4</v>
      </c>
      <c r="R122">
        <v>37516</v>
      </c>
      <c r="S122">
        <f t="shared" si="9"/>
        <v>8.3333333333333329E-2</v>
      </c>
      <c r="T122">
        <v>23</v>
      </c>
      <c r="U122">
        <v>4.1500000000000004</v>
      </c>
      <c r="V122">
        <v>648725</v>
      </c>
      <c r="W122">
        <v>7756865</v>
      </c>
      <c r="X122">
        <f t="shared" si="10"/>
        <v>11.957092758873173</v>
      </c>
      <c r="Y122" t="str">
        <f t="shared" si="11"/>
        <v>Weak Product</v>
      </c>
    </row>
    <row r="123" spans="1:25" x14ac:dyDescent="0.3">
      <c r="A123" t="s">
        <v>278</v>
      </c>
      <c r="B123" t="s">
        <v>279</v>
      </c>
      <c r="C123" t="s">
        <v>36</v>
      </c>
      <c r="D123" s="1">
        <v>45640</v>
      </c>
      <c r="E123">
        <v>107</v>
      </c>
      <c r="F123" t="s">
        <v>28</v>
      </c>
      <c r="G123">
        <v>6054</v>
      </c>
      <c r="H123">
        <v>4901</v>
      </c>
      <c r="I123">
        <v>80</v>
      </c>
      <c r="J123">
        <v>116</v>
      </c>
      <c r="K123">
        <v>702264</v>
      </c>
      <c r="L123">
        <v>133626</v>
      </c>
      <c r="M123">
        <v>568638</v>
      </c>
      <c r="N123">
        <f t="shared" si="6"/>
        <v>568516</v>
      </c>
      <c r="O123">
        <f t="shared" si="7"/>
        <v>122</v>
      </c>
      <c r="P123">
        <f t="shared" si="8"/>
        <v>2.1454774390737165E-4</v>
      </c>
      <c r="Q123">
        <v>3</v>
      </c>
      <c r="R123">
        <v>16344</v>
      </c>
      <c r="S123">
        <f t="shared" si="9"/>
        <v>3.7499999999999999E-2</v>
      </c>
      <c r="T123">
        <v>31</v>
      </c>
      <c r="U123">
        <v>3.35</v>
      </c>
      <c r="V123">
        <v>201732</v>
      </c>
      <c r="W123">
        <v>1169990</v>
      </c>
      <c r="X123">
        <f t="shared" si="10"/>
        <v>5.7997243868102233</v>
      </c>
      <c r="Y123" t="str">
        <f t="shared" si="11"/>
        <v>Weak Product</v>
      </c>
    </row>
    <row r="124" spans="1:25" x14ac:dyDescent="0.3">
      <c r="A124" t="s">
        <v>280</v>
      </c>
      <c r="B124" t="s">
        <v>281</v>
      </c>
      <c r="C124" t="s">
        <v>36</v>
      </c>
      <c r="D124" s="1">
        <v>45137</v>
      </c>
      <c r="E124">
        <v>610</v>
      </c>
      <c r="F124" t="s">
        <v>28</v>
      </c>
      <c r="G124">
        <v>16088</v>
      </c>
      <c r="H124">
        <v>7475</v>
      </c>
      <c r="I124">
        <v>77</v>
      </c>
      <c r="J124">
        <v>118</v>
      </c>
      <c r="K124">
        <v>1898384</v>
      </c>
      <c r="L124">
        <v>275427</v>
      </c>
      <c r="M124">
        <v>1622957</v>
      </c>
      <c r="N124">
        <f t="shared" si="6"/>
        <v>882050</v>
      </c>
      <c r="O124">
        <f t="shared" si="7"/>
        <v>740907</v>
      </c>
      <c r="P124">
        <f t="shared" si="8"/>
        <v>0.45651671609290945</v>
      </c>
      <c r="Q124">
        <v>5</v>
      </c>
      <c r="R124">
        <v>72395</v>
      </c>
      <c r="S124">
        <f t="shared" si="9"/>
        <v>6.4935064935064929E-2</v>
      </c>
      <c r="T124">
        <v>28</v>
      </c>
      <c r="U124">
        <v>4.3899999999999997</v>
      </c>
      <c r="V124">
        <v>420201</v>
      </c>
      <c r="W124">
        <v>9524813</v>
      </c>
      <c r="X124">
        <f t="shared" si="10"/>
        <v>22.667278278728514</v>
      </c>
      <c r="Y124" t="str">
        <f t="shared" si="11"/>
        <v>Weak Product</v>
      </c>
    </row>
    <row r="125" spans="1:25" x14ac:dyDescent="0.3">
      <c r="A125" t="s">
        <v>282</v>
      </c>
      <c r="B125" t="s">
        <v>283</v>
      </c>
      <c r="C125" t="s">
        <v>36</v>
      </c>
      <c r="D125" s="1">
        <v>45405</v>
      </c>
      <c r="E125">
        <v>342</v>
      </c>
      <c r="F125" t="s">
        <v>28</v>
      </c>
      <c r="G125">
        <v>13321</v>
      </c>
      <c r="H125">
        <v>6190</v>
      </c>
      <c r="I125">
        <v>61</v>
      </c>
      <c r="J125">
        <v>82</v>
      </c>
      <c r="K125">
        <v>1092322</v>
      </c>
      <c r="L125">
        <v>154385</v>
      </c>
      <c r="M125">
        <v>937937</v>
      </c>
      <c r="N125">
        <f t="shared" si="6"/>
        <v>507580</v>
      </c>
      <c r="O125">
        <f t="shared" si="7"/>
        <v>430357</v>
      </c>
      <c r="P125">
        <f t="shared" si="8"/>
        <v>0.45883358903636384</v>
      </c>
      <c r="Q125">
        <v>11</v>
      </c>
      <c r="R125">
        <v>131868</v>
      </c>
      <c r="S125">
        <f t="shared" si="9"/>
        <v>0.18032786885245902</v>
      </c>
      <c r="T125">
        <v>26</v>
      </c>
      <c r="U125">
        <v>4.54</v>
      </c>
      <c r="V125">
        <v>394126</v>
      </c>
      <c r="W125">
        <v>8861555</v>
      </c>
      <c r="X125">
        <f t="shared" si="10"/>
        <v>22.484066009347263</v>
      </c>
      <c r="Y125" t="str">
        <f t="shared" si="11"/>
        <v>Weak Product</v>
      </c>
    </row>
    <row r="126" spans="1:25" x14ac:dyDescent="0.3">
      <c r="A126" t="s">
        <v>284</v>
      </c>
      <c r="B126" t="s">
        <v>285</v>
      </c>
      <c r="C126" t="s">
        <v>36</v>
      </c>
      <c r="D126" s="1">
        <v>45488</v>
      </c>
      <c r="E126">
        <v>259</v>
      </c>
      <c r="F126" t="s">
        <v>28</v>
      </c>
      <c r="G126">
        <v>19453</v>
      </c>
      <c r="H126">
        <v>14172</v>
      </c>
      <c r="I126">
        <v>44</v>
      </c>
      <c r="J126">
        <v>71</v>
      </c>
      <c r="K126">
        <v>1381163</v>
      </c>
      <c r="L126">
        <v>236883</v>
      </c>
      <c r="M126">
        <v>1144280</v>
      </c>
      <c r="N126">
        <f t="shared" si="6"/>
        <v>1006212</v>
      </c>
      <c r="O126">
        <f t="shared" si="7"/>
        <v>138068</v>
      </c>
      <c r="P126">
        <f t="shared" si="8"/>
        <v>0.12065927919739924</v>
      </c>
      <c r="Q126">
        <v>0</v>
      </c>
      <c r="R126">
        <v>0</v>
      </c>
      <c r="S126">
        <f t="shared" si="9"/>
        <v>0</v>
      </c>
      <c r="T126">
        <v>12</v>
      </c>
      <c r="U126">
        <v>3.54</v>
      </c>
      <c r="V126">
        <v>137204</v>
      </c>
      <c r="W126">
        <v>2751680</v>
      </c>
      <c r="X126">
        <f t="shared" si="10"/>
        <v>20.055391971079562</v>
      </c>
      <c r="Y126" t="str">
        <f t="shared" si="11"/>
        <v>Weak Product</v>
      </c>
    </row>
    <row r="127" spans="1:25" x14ac:dyDescent="0.3">
      <c r="A127" t="s">
        <v>286</v>
      </c>
      <c r="B127" t="s">
        <v>287</v>
      </c>
      <c r="C127" t="s">
        <v>36</v>
      </c>
      <c r="D127" s="1">
        <v>45061</v>
      </c>
      <c r="E127">
        <v>686</v>
      </c>
      <c r="F127" t="s">
        <v>28</v>
      </c>
      <c r="G127">
        <v>11047</v>
      </c>
      <c r="H127">
        <v>5392</v>
      </c>
      <c r="I127">
        <v>104</v>
      </c>
      <c r="J127">
        <v>153</v>
      </c>
      <c r="K127">
        <v>1690191</v>
      </c>
      <c r="L127">
        <v>249272</v>
      </c>
      <c r="M127">
        <v>1440919</v>
      </c>
      <c r="N127">
        <f t="shared" si="6"/>
        <v>824976</v>
      </c>
      <c r="O127">
        <f t="shared" si="7"/>
        <v>615943</v>
      </c>
      <c r="P127">
        <f t="shared" si="8"/>
        <v>0.42746538840836995</v>
      </c>
      <c r="Q127">
        <v>7</v>
      </c>
      <c r="R127">
        <v>69594</v>
      </c>
      <c r="S127">
        <f t="shared" si="9"/>
        <v>6.7307692307692304E-2</v>
      </c>
      <c r="T127">
        <v>46</v>
      </c>
      <c r="U127">
        <v>4.3499999999999996</v>
      </c>
      <c r="V127">
        <v>706297</v>
      </c>
      <c r="W127">
        <v>7938233</v>
      </c>
      <c r="X127">
        <f t="shared" si="10"/>
        <v>11.239227973501233</v>
      </c>
      <c r="Y127" t="str">
        <f t="shared" si="11"/>
        <v>Weak Product</v>
      </c>
    </row>
    <row r="128" spans="1:25" x14ac:dyDescent="0.3">
      <c r="A128" t="s">
        <v>288</v>
      </c>
      <c r="B128" t="s">
        <v>289</v>
      </c>
      <c r="C128" t="s">
        <v>36</v>
      </c>
      <c r="D128" s="1">
        <v>44873</v>
      </c>
      <c r="E128">
        <v>874</v>
      </c>
      <c r="F128" t="s">
        <v>28</v>
      </c>
      <c r="G128">
        <v>4122</v>
      </c>
      <c r="H128">
        <v>3450</v>
      </c>
      <c r="I128">
        <v>154</v>
      </c>
      <c r="J128">
        <v>226</v>
      </c>
      <c r="K128">
        <v>931572</v>
      </c>
      <c r="L128">
        <v>111627</v>
      </c>
      <c r="M128">
        <v>819945</v>
      </c>
      <c r="N128">
        <f t="shared" si="6"/>
        <v>779700</v>
      </c>
      <c r="O128">
        <f t="shared" si="7"/>
        <v>40245</v>
      </c>
      <c r="P128">
        <f t="shared" si="8"/>
        <v>4.9082560415637633E-2</v>
      </c>
      <c r="Q128">
        <v>6</v>
      </c>
      <c r="R128">
        <v>22254</v>
      </c>
      <c r="S128">
        <f t="shared" si="9"/>
        <v>3.896103896103896E-2</v>
      </c>
      <c r="T128">
        <v>55</v>
      </c>
      <c r="U128">
        <v>3.06</v>
      </c>
      <c r="V128">
        <v>79637</v>
      </c>
      <c r="W128">
        <v>466587</v>
      </c>
      <c r="X128">
        <f t="shared" si="10"/>
        <v>5.8589223602094505</v>
      </c>
      <c r="Y128" t="str">
        <f t="shared" si="11"/>
        <v>Weak Product</v>
      </c>
    </row>
    <row r="129" spans="1:25" x14ac:dyDescent="0.3">
      <c r="A129" t="s">
        <v>290</v>
      </c>
      <c r="B129" t="s">
        <v>291</v>
      </c>
      <c r="C129" t="s">
        <v>36</v>
      </c>
      <c r="D129" s="1">
        <v>45595</v>
      </c>
      <c r="E129">
        <v>152</v>
      </c>
      <c r="F129" t="s">
        <v>28</v>
      </c>
      <c r="G129">
        <v>12456</v>
      </c>
      <c r="H129">
        <v>7452</v>
      </c>
      <c r="I129">
        <v>59</v>
      </c>
      <c r="J129">
        <v>91</v>
      </c>
      <c r="K129">
        <v>1133496</v>
      </c>
      <c r="L129">
        <v>143545</v>
      </c>
      <c r="M129">
        <v>989951</v>
      </c>
      <c r="N129">
        <f t="shared" si="6"/>
        <v>678132</v>
      </c>
      <c r="O129">
        <f t="shared" si="7"/>
        <v>311819</v>
      </c>
      <c r="P129">
        <f t="shared" si="8"/>
        <v>0.31498427699956866</v>
      </c>
      <c r="Q129">
        <v>4</v>
      </c>
      <c r="R129">
        <v>44840</v>
      </c>
      <c r="S129">
        <f t="shared" si="9"/>
        <v>6.7796610169491525E-2</v>
      </c>
      <c r="T129">
        <v>20</v>
      </c>
      <c r="U129">
        <v>3.85</v>
      </c>
      <c r="V129">
        <v>85557</v>
      </c>
      <c r="W129">
        <v>1936989</v>
      </c>
      <c r="X129">
        <f t="shared" si="10"/>
        <v>22.639748939303622</v>
      </c>
      <c r="Y129" t="str">
        <f t="shared" si="11"/>
        <v>Weak Product</v>
      </c>
    </row>
    <row r="130" spans="1:25" x14ac:dyDescent="0.3">
      <c r="A130" t="s">
        <v>292</v>
      </c>
      <c r="B130" t="s">
        <v>293</v>
      </c>
      <c r="C130" t="s">
        <v>36</v>
      </c>
      <c r="D130" s="1">
        <v>45465</v>
      </c>
      <c r="E130">
        <v>282</v>
      </c>
      <c r="F130" t="s">
        <v>28</v>
      </c>
      <c r="G130">
        <v>3543</v>
      </c>
      <c r="H130">
        <v>1859</v>
      </c>
      <c r="I130">
        <v>119</v>
      </c>
      <c r="J130">
        <v>179</v>
      </c>
      <c r="K130">
        <v>634197</v>
      </c>
      <c r="L130">
        <v>107190</v>
      </c>
      <c r="M130">
        <v>527007</v>
      </c>
      <c r="N130">
        <f t="shared" si="6"/>
        <v>332761</v>
      </c>
      <c r="O130">
        <f t="shared" si="7"/>
        <v>194246</v>
      </c>
      <c r="P130">
        <f t="shared" si="8"/>
        <v>0.36858333950023436</v>
      </c>
      <c r="Q130">
        <v>12</v>
      </c>
      <c r="R130">
        <v>38256</v>
      </c>
      <c r="S130">
        <f t="shared" si="9"/>
        <v>0.10084033613445378</v>
      </c>
      <c r="T130">
        <v>54</v>
      </c>
      <c r="U130">
        <v>4.28</v>
      </c>
      <c r="V130">
        <v>600239</v>
      </c>
      <c r="W130">
        <v>1683216</v>
      </c>
      <c r="X130">
        <f t="shared" si="10"/>
        <v>2.8042429765476751</v>
      </c>
      <c r="Y130" t="str">
        <f t="shared" si="11"/>
        <v>Weak Product</v>
      </c>
    </row>
    <row r="131" spans="1:25" x14ac:dyDescent="0.3">
      <c r="A131" t="s">
        <v>294</v>
      </c>
      <c r="B131" t="s">
        <v>295</v>
      </c>
      <c r="C131" t="s">
        <v>36</v>
      </c>
      <c r="D131" s="1">
        <v>45537</v>
      </c>
      <c r="E131">
        <v>210</v>
      </c>
      <c r="F131" t="s">
        <v>28</v>
      </c>
      <c r="G131">
        <v>12183</v>
      </c>
      <c r="H131">
        <v>10420</v>
      </c>
      <c r="I131">
        <v>63</v>
      </c>
      <c r="J131">
        <v>92</v>
      </c>
      <c r="K131">
        <v>1120836</v>
      </c>
      <c r="L131">
        <v>144402</v>
      </c>
      <c r="M131">
        <v>976434</v>
      </c>
      <c r="N131">
        <f t="shared" ref="N131:N194" si="12">J131*H131</f>
        <v>958640</v>
      </c>
      <c r="O131">
        <f t="shared" ref="O131:O194" si="13">M131-N131</f>
        <v>17794</v>
      </c>
      <c r="P131">
        <f t="shared" ref="P131:P194" si="14">IF(M131&gt;0, (M131-N131)/M131, 0)</f>
        <v>1.8223453914959945E-2</v>
      </c>
      <c r="Q131">
        <v>4</v>
      </c>
      <c r="R131">
        <v>43856</v>
      </c>
      <c r="S131">
        <f t="shared" ref="S131:S194" si="15">IF(I131&gt;0, Q131/I131, 0)</f>
        <v>6.3492063492063489E-2</v>
      </c>
      <c r="T131">
        <v>22</v>
      </c>
      <c r="U131">
        <v>3.2</v>
      </c>
      <c r="V131">
        <v>316961</v>
      </c>
      <c r="W131">
        <v>5011271</v>
      </c>
      <c r="X131">
        <f t="shared" ref="X131:X194" si="16">IF(V131&gt;0, W131/V131, 0)</f>
        <v>15.810370992014791</v>
      </c>
      <c r="Y131" t="str">
        <f t="shared" ref="Y131:Y194" si="17">IF(E131&lt;=90, "Immature Product", IF(AND(O131&gt;0, U131&gt;=4, S131&lt;0.05), "Star", IF(AND(M131&gt;10000000, O131&lt;0), "Revenue Trap", IF(AND(O131&gt;0, U131&gt;=4, V131&lt;100000), "Hidden Opportunity", "Weak Product"))))</f>
        <v>Weak Product</v>
      </c>
    </row>
    <row r="132" spans="1:25" x14ac:dyDescent="0.3">
      <c r="A132" t="s">
        <v>296</v>
      </c>
      <c r="B132" t="s">
        <v>297</v>
      </c>
      <c r="C132" t="s">
        <v>36</v>
      </c>
      <c r="D132" s="1">
        <v>45300</v>
      </c>
      <c r="E132">
        <v>447</v>
      </c>
      <c r="F132" t="s">
        <v>28</v>
      </c>
      <c r="G132">
        <v>4301</v>
      </c>
      <c r="H132">
        <v>2034</v>
      </c>
      <c r="I132">
        <v>85</v>
      </c>
      <c r="J132">
        <v>126</v>
      </c>
      <c r="K132">
        <v>541926</v>
      </c>
      <c r="L132">
        <v>95553</v>
      </c>
      <c r="M132">
        <v>446373</v>
      </c>
      <c r="N132">
        <f t="shared" si="12"/>
        <v>256284</v>
      </c>
      <c r="O132">
        <f t="shared" si="13"/>
        <v>190089</v>
      </c>
      <c r="P132">
        <f t="shared" si="14"/>
        <v>0.4258523701030304</v>
      </c>
      <c r="Q132">
        <v>4</v>
      </c>
      <c r="R132">
        <v>15480</v>
      </c>
      <c r="S132">
        <f t="shared" si="15"/>
        <v>4.7058823529411764E-2</v>
      </c>
      <c r="T132">
        <v>36</v>
      </c>
      <c r="U132">
        <v>4.43</v>
      </c>
      <c r="V132">
        <v>518311</v>
      </c>
      <c r="W132">
        <v>2071296</v>
      </c>
      <c r="X132">
        <f t="shared" si="16"/>
        <v>3.9962416387072626</v>
      </c>
      <c r="Y132" t="str">
        <f t="shared" si="17"/>
        <v>Star</v>
      </c>
    </row>
    <row r="133" spans="1:25" x14ac:dyDescent="0.3">
      <c r="A133" t="s">
        <v>298</v>
      </c>
      <c r="B133" t="s">
        <v>299</v>
      </c>
      <c r="C133" t="s">
        <v>36</v>
      </c>
      <c r="D133" s="1">
        <v>45640</v>
      </c>
      <c r="E133">
        <v>107</v>
      </c>
      <c r="F133" t="s">
        <v>28</v>
      </c>
      <c r="G133">
        <v>8280</v>
      </c>
      <c r="H133">
        <v>3767</v>
      </c>
      <c r="I133">
        <v>124</v>
      </c>
      <c r="J133">
        <v>185</v>
      </c>
      <c r="K133">
        <v>1531800</v>
      </c>
      <c r="L133">
        <v>194437</v>
      </c>
      <c r="M133">
        <v>1337363</v>
      </c>
      <c r="N133">
        <f t="shared" si="12"/>
        <v>696895</v>
      </c>
      <c r="O133">
        <f t="shared" si="13"/>
        <v>640468</v>
      </c>
      <c r="P133">
        <f t="shared" si="14"/>
        <v>0.47890363349367376</v>
      </c>
      <c r="Q133">
        <v>4</v>
      </c>
      <c r="R133">
        <v>29808</v>
      </c>
      <c r="S133">
        <f t="shared" si="15"/>
        <v>3.2258064516129031E-2</v>
      </c>
      <c r="T133">
        <v>39</v>
      </c>
      <c r="U133">
        <v>4.5599999999999996</v>
      </c>
      <c r="V133">
        <v>285995</v>
      </c>
      <c r="W133">
        <v>1597851</v>
      </c>
      <c r="X133">
        <f t="shared" si="16"/>
        <v>5.5869892830294239</v>
      </c>
      <c r="Y133" t="str">
        <f t="shared" si="17"/>
        <v>Star</v>
      </c>
    </row>
    <row r="134" spans="1:25" x14ac:dyDescent="0.3">
      <c r="A134" t="s">
        <v>300</v>
      </c>
      <c r="B134" t="s">
        <v>301</v>
      </c>
      <c r="C134" t="s">
        <v>36</v>
      </c>
      <c r="D134" s="1">
        <v>45642</v>
      </c>
      <c r="E134">
        <v>105</v>
      </c>
      <c r="F134" t="s">
        <v>28</v>
      </c>
      <c r="G134">
        <v>11065</v>
      </c>
      <c r="H134">
        <v>6102</v>
      </c>
      <c r="I134">
        <v>50</v>
      </c>
      <c r="J134">
        <v>75</v>
      </c>
      <c r="K134">
        <v>829875</v>
      </c>
      <c r="L134">
        <v>81655</v>
      </c>
      <c r="M134">
        <v>748220</v>
      </c>
      <c r="N134">
        <f t="shared" si="12"/>
        <v>457650</v>
      </c>
      <c r="O134">
        <f t="shared" si="13"/>
        <v>290570</v>
      </c>
      <c r="P134">
        <f t="shared" si="14"/>
        <v>0.38834834674293656</v>
      </c>
      <c r="Q134">
        <v>9</v>
      </c>
      <c r="R134">
        <v>89622</v>
      </c>
      <c r="S134">
        <f t="shared" si="15"/>
        <v>0.18</v>
      </c>
      <c r="T134">
        <v>22</v>
      </c>
      <c r="U134">
        <v>4.18</v>
      </c>
      <c r="V134">
        <v>614156</v>
      </c>
      <c r="W134">
        <v>8044571</v>
      </c>
      <c r="X134">
        <f t="shared" si="16"/>
        <v>13.098579188349539</v>
      </c>
      <c r="Y134" t="str">
        <f t="shared" si="17"/>
        <v>Weak Product</v>
      </c>
    </row>
    <row r="135" spans="1:25" x14ac:dyDescent="0.3">
      <c r="A135" t="s">
        <v>302</v>
      </c>
      <c r="B135" t="s">
        <v>303</v>
      </c>
      <c r="C135" t="s">
        <v>36</v>
      </c>
      <c r="D135" s="1">
        <v>44947</v>
      </c>
      <c r="E135">
        <v>800</v>
      </c>
      <c r="F135" t="s">
        <v>28</v>
      </c>
      <c r="G135">
        <v>8512</v>
      </c>
      <c r="H135">
        <v>4602</v>
      </c>
      <c r="I135">
        <v>103</v>
      </c>
      <c r="J135">
        <v>162</v>
      </c>
      <c r="K135">
        <v>1378944</v>
      </c>
      <c r="L135">
        <v>223928</v>
      </c>
      <c r="M135">
        <v>1155016</v>
      </c>
      <c r="N135">
        <f t="shared" si="12"/>
        <v>745524</v>
      </c>
      <c r="O135">
        <f t="shared" si="13"/>
        <v>409492</v>
      </c>
      <c r="P135">
        <f t="shared" si="14"/>
        <v>0.35453361685032936</v>
      </c>
      <c r="Q135">
        <v>5</v>
      </c>
      <c r="R135">
        <v>38300</v>
      </c>
      <c r="S135">
        <f t="shared" si="15"/>
        <v>4.8543689320388349E-2</v>
      </c>
      <c r="T135">
        <v>46</v>
      </c>
      <c r="U135">
        <v>4.29</v>
      </c>
      <c r="V135">
        <v>111303</v>
      </c>
      <c r="W135">
        <v>1389567</v>
      </c>
      <c r="X135">
        <f t="shared" si="16"/>
        <v>12.484542195628149</v>
      </c>
      <c r="Y135" t="str">
        <f t="shared" si="17"/>
        <v>Star</v>
      </c>
    </row>
    <row r="136" spans="1:25" x14ac:dyDescent="0.3">
      <c r="A136" t="s">
        <v>304</v>
      </c>
      <c r="B136" t="s">
        <v>305</v>
      </c>
      <c r="C136" t="s">
        <v>36</v>
      </c>
      <c r="D136" s="1">
        <v>45594</v>
      </c>
      <c r="E136">
        <v>153</v>
      </c>
      <c r="F136" t="s">
        <v>28</v>
      </c>
      <c r="G136">
        <v>8994</v>
      </c>
      <c r="H136">
        <v>7882</v>
      </c>
      <c r="I136">
        <v>117</v>
      </c>
      <c r="J136">
        <v>170</v>
      </c>
      <c r="K136">
        <v>1528980</v>
      </c>
      <c r="L136">
        <v>264532</v>
      </c>
      <c r="M136">
        <v>1264448</v>
      </c>
      <c r="N136">
        <f t="shared" si="12"/>
        <v>1339940</v>
      </c>
      <c r="O136">
        <f t="shared" si="13"/>
        <v>-75492</v>
      </c>
      <c r="P136">
        <f t="shared" si="14"/>
        <v>-5.9703522802044842E-2</v>
      </c>
      <c r="Q136">
        <v>5</v>
      </c>
      <c r="R136">
        <v>40470</v>
      </c>
      <c r="S136">
        <f t="shared" si="15"/>
        <v>4.2735042735042736E-2</v>
      </c>
      <c r="T136">
        <v>42</v>
      </c>
      <c r="U136">
        <v>3.06</v>
      </c>
      <c r="V136">
        <v>561046</v>
      </c>
      <c r="W136">
        <v>6609234</v>
      </c>
      <c r="X136">
        <f t="shared" si="16"/>
        <v>11.780199841011253</v>
      </c>
      <c r="Y136" t="str">
        <f t="shared" si="17"/>
        <v>Weak Product</v>
      </c>
    </row>
    <row r="137" spans="1:25" x14ac:dyDescent="0.3">
      <c r="A137" t="s">
        <v>306</v>
      </c>
      <c r="B137" t="s">
        <v>307</v>
      </c>
      <c r="C137" t="s">
        <v>36</v>
      </c>
      <c r="D137" s="1">
        <v>45464</v>
      </c>
      <c r="E137">
        <v>283</v>
      </c>
      <c r="F137" t="s">
        <v>28</v>
      </c>
      <c r="G137">
        <v>15110</v>
      </c>
      <c r="H137">
        <v>10173</v>
      </c>
      <c r="I137">
        <v>72</v>
      </c>
      <c r="J137">
        <v>104</v>
      </c>
      <c r="K137">
        <v>1571440</v>
      </c>
      <c r="L137">
        <v>161983</v>
      </c>
      <c r="M137">
        <v>1409457</v>
      </c>
      <c r="N137">
        <f t="shared" si="12"/>
        <v>1057992</v>
      </c>
      <c r="O137">
        <f t="shared" si="13"/>
        <v>351465</v>
      </c>
      <c r="P137">
        <f t="shared" si="14"/>
        <v>0.24936198834019058</v>
      </c>
      <c r="Q137">
        <v>10</v>
      </c>
      <c r="R137">
        <v>135990</v>
      </c>
      <c r="S137">
        <f t="shared" si="15"/>
        <v>0.1388888888888889</v>
      </c>
      <c r="T137">
        <v>29</v>
      </c>
      <c r="U137">
        <v>3.88</v>
      </c>
      <c r="V137">
        <v>277592</v>
      </c>
      <c r="W137">
        <v>5690146</v>
      </c>
      <c r="X137">
        <f t="shared" si="16"/>
        <v>20.498234819447248</v>
      </c>
      <c r="Y137" t="str">
        <f t="shared" si="17"/>
        <v>Weak Product</v>
      </c>
    </row>
    <row r="138" spans="1:25" x14ac:dyDescent="0.3">
      <c r="A138" t="s">
        <v>308</v>
      </c>
      <c r="B138" t="s">
        <v>309</v>
      </c>
      <c r="C138" t="s">
        <v>36</v>
      </c>
      <c r="D138" s="1">
        <v>45246</v>
      </c>
      <c r="E138">
        <v>501</v>
      </c>
      <c r="F138" t="s">
        <v>28</v>
      </c>
      <c r="G138">
        <v>2292</v>
      </c>
      <c r="H138">
        <v>1032</v>
      </c>
      <c r="I138">
        <v>137</v>
      </c>
      <c r="J138">
        <v>211</v>
      </c>
      <c r="K138">
        <v>483612</v>
      </c>
      <c r="L138">
        <v>64602</v>
      </c>
      <c r="M138">
        <v>419010</v>
      </c>
      <c r="N138">
        <f t="shared" si="12"/>
        <v>217752</v>
      </c>
      <c r="O138">
        <f t="shared" si="13"/>
        <v>201258</v>
      </c>
      <c r="P138">
        <f t="shared" si="14"/>
        <v>0.48031789217441112</v>
      </c>
      <c r="Q138">
        <v>4</v>
      </c>
      <c r="R138">
        <v>8248</v>
      </c>
      <c r="S138">
        <f t="shared" si="15"/>
        <v>2.9197080291970802E-2</v>
      </c>
      <c r="T138">
        <v>49</v>
      </c>
      <c r="U138">
        <v>4.51</v>
      </c>
      <c r="V138">
        <v>655140</v>
      </c>
      <c r="W138">
        <v>1728444</v>
      </c>
      <c r="X138">
        <f t="shared" si="16"/>
        <v>2.6382818939463322</v>
      </c>
      <c r="Y138" t="str">
        <f t="shared" si="17"/>
        <v>Star</v>
      </c>
    </row>
    <row r="139" spans="1:25" x14ac:dyDescent="0.3">
      <c r="A139" t="s">
        <v>310</v>
      </c>
      <c r="B139" t="s">
        <v>311</v>
      </c>
      <c r="C139" t="s">
        <v>36</v>
      </c>
      <c r="D139" s="1">
        <v>44902</v>
      </c>
      <c r="E139">
        <v>845</v>
      </c>
      <c r="F139" t="s">
        <v>28</v>
      </c>
      <c r="G139">
        <v>10853</v>
      </c>
      <c r="H139">
        <v>6796</v>
      </c>
      <c r="I139">
        <v>53</v>
      </c>
      <c r="J139">
        <v>80</v>
      </c>
      <c r="K139">
        <v>868240</v>
      </c>
      <c r="L139">
        <v>173010</v>
      </c>
      <c r="M139">
        <v>695230</v>
      </c>
      <c r="N139">
        <f t="shared" si="12"/>
        <v>543680</v>
      </c>
      <c r="O139">
        <f t="shared" si="13"/>
        <v>151550</v>
      </c>
      <c r="P139">
        <f t="shared" si="14"/>
        <v>0.21798541489866663</v>
      </c>
      <c r="Q139">
        <v>1</v>
      </c>
      <c r="R139">
        <v>9767</v>
      </c>
      <c r="S139">
        <f t="shared" si="15"/>
        <v>1.8867924528301886E-2</v>
      </c>
      <c r="T139">
        <v>20</v>
      </c>
      <c r="U139">
        <v>3.88</v>
      </c>
      <c r="V139">
        <v>596193</v>
      </c>
      <c r="W139">
        <v>7803719</v>
      </c>
      <c r="X139">
        <f t="shared" si="16"/>
        <v>13.089249622186104</v>
      </c>
      <c r="Y139" t="str">
        <f t="shared" si="17"/>
        <v>Weak Product</v>
      </c>
    </row>
    <row r="140" spans="1:25" x14ac:dyDescent="0.3">
      <c r="A140" t="s">
        <v>312</v>
      </c>
      <c r="B140" t="s">
        <v>313</v>
      </c>
      <c r="C140" t="s">
        <v>36</v>
      </c>
      <c r="D140" s="1">
        <v>45352</v>
      </c>
      <c r="E140">
        <v>395</v>
      </c>
      <c r="F140" t="s">
        <v>28</v>
      </c>
      <c r="G140">
        <v>17684</v>
      </c>
      <c r="H140">
        <v>13568</v>
      </c>
      <c r="I140">
        <v>22</v>
      </c>
      <c r="J140">
        <v>35</v>
      </c>
      <c r="K140">
        <v>618940</v>
      </c>
      <c r="L140">
        <v>93818</v>
      </c>
      <c r="M140">
        <v>525122</v>
      </c>
      <c r="N140">
        <f t="shared" si="12"/>
        <v>474880</v>
      </c>
      <c r="O140">
        <f t="shared" si="13"/>
        <v>50242</v>
      </c>
      <c r="P140">
        <f t="shared" si="14"/>
        <v>9.5676814149854697E-2</v>
      </c>
      <c r="Q140">
        <v>0</v>
      </c>
      <c r="R140">
        <v>0</v>
      </c>
      <c r="S140">
        <f t="shared" si="15"/>
        <v>0</v>
      </c>
      <c r="T140">
        <v>10</v>
      </c>
      <c r="U140">
        <v>3.3</v>
      </c>
      <c r="V140">
        <v>683678</v>
      </c>
      <c r="W140">
        <v>13054607</v>
      </c>
      <c r="X140">
        <f t="shared" si="16"/>
        <v>19.094671760682662</v>
      </c>
      <c r="Y140" t="str">
        <f t="shared" si="17"/>
        <v>Weak Product</v>
      </c>
    </row>
    <row r="141" spans="1:25" x14ac:dyDescent="0.3">
      <c r="A141" t="s">
        <v>314</v>
      </c>
      <c r="B141" t="s">
        <v>315</v>
      </c>
      <c r="C141" t="s">
        <v>36</v>
      </c>
      <c r="D141" s="1">
        <v>45068</v>
      </c>
      <c r="E141">
        <v>679</v>
      </c>
      <c r="F141" t="s">
        <v>28</v>
      </c>
      <c r="G141">
        <v>7344</v>
      </c>
      <c r="H141">
        <v>5188</v>
      </c>
      <c r="I141">
        <v>112</v>
      </c>
      <c r="J141">
        <v>170</v>
      </c>
      <c r="K141">
        <v>1248480</v>
      </c>
      <c r="L141">
        <v>200223</v>
      </c>
      <c r="M141">
        <v>1048257</v>
      </c>
      <c r="N141">
        <f t="shared" si="12"/>
        <v>881960</v>
      </c>
      <c r="O141">
        <f t="shared" si="13"/>
        <v>166297</v>
      </c>
      <c r="P141">
        <f t="shared" si="14"/>
        <v>0.15864144002854261</v>
      </c>
      <c r="Q141">
        <v>9</v>
      </c>
      <c r="R141">
        <v>59481</v>
      </c>
      <c r="S141">
        <f t="shared" si="15"/>
        <v>8.0357142857142863E-2</v>
      </c>
      <c r="T141">
        <v>38</v>
      </c>
      <c r="U141">
        <v>3.55</v>
      </c>
      <c r="V141">
        <v>372613</v>
      </c>
      <c r="W141">
        <v>3161187</v>
      </c>
      <c r="X141">
        <f t="shared" si="16"/>
        <v>8.4838344341179717</v>
      </c>
      <c r="Y141" t="str">
        <f t="shared" si="17"/>
        <v>Weak Product</v>
      </c>
    </row>
    <row r="142" spans="1:25" x14ac:dyDescent="0.3">
      <c r="A142" t="s">
        <v>316</v>
      </c>
      <c r="B142" t="s">
        <v>317</v>
      </c>
      <c r="C142" t="s">
        <v>36</v>
      </c>
      <c r="D142" s="1">
        <v>45218</v>
      </c>
      <c r="E142">
        <v>529</v>
      </c>
      <c r="F142" t="s">
        <v>28</v>
      </c>
      <c r="G142">
        <v>10539</v>
      </c>
      <c r="H142">
        <v>6330</v>
      </c>
      <c r="I142">
        <v>78</v>
      </c>
      <c r="J142">
        <v>111</v>
      </c>
      <c r="K142">
        <v>1169829</v>
      </c>
      <c r="L142">
        <v>210098</v>
      </c>
      <c r="M142">
        <v>959731</v>
      </c>
      <c r="N142">
        <f t="shared" si="12"/>
        <v>702630</v>
      </c>
      <c r="O142">
        <f t="shared" si="13"/>
        <v>257101</v>
      </c>
      <c r="P142">
        <f t="shared" si="14"/>
        <v>0.2678886062865532</v>
      </c>
      <c r="Q142">
        <v>7</v>
      </c>
      <c r="R142">
        <v>66395</v>
      </c>
      <c r="S142">
        <f t="shared" si="15"/>
        <v>8.9743589743589744E-2</v>
      </c>
      <c r="T142">
        <v>28</v>
      </c>
      <c r="U142">
        <v>4</v>
      </c>
      <c r="V142">
        <v>121753</v>
      </c>
      <c r="W142">
        <v>1647931</v>
      </c>
      <c r="X142">
        <f t="shared" si="16"/>
        <v>13.535034044335664</v>
      </c>
      <c r="Y142" t="str">
        <f t="shared" si="17"/>
        <v>Weak Product</v>
      </c>
    </row>
    <row r="143" spans="1:25" x14ac:dyDescent="0.3">
      <c r="A143" t="s">
        <v>318</v>
      </c>
      <c r="B143" t="s">
        <v>319</v>
      </c>
      <c r="C143" t="s">
        <v>36</v>
      </c>
      <c r="D143" s="1">
        <v>45591</v>
      </c>
      <c r="E143">
        <v>156</v>
      </c>
      <c r="F143" t="s">
        <v>28</v>
      </c>
      <c r="G143">
        <v>14450</v>
      </c>
      <c r="H143">
        <v>12377</v>
      </c>
      <c r="I143">
        <v>30</v>
      </c>
      <c r="J143">
        <v>40</v>
      </c>
      <c r="K143">
        <v>578000</v>
      </c>
      <c r="L143">
        <v>101545</v>
      </c>
      <c r="M143">
        <v>476455</v>
      </c>
      <c r="N143">
        <f t="shared" si="12"/>
        <v>495080</v>
      </c>
      <c r="O143">
        <f t="shared" si="13"/>
        <v>-18625</v>
      </c>
      <c r="P143">
        <f t="shared" si="14"/>
        <v>-3.9090785068894227E-2</v>
      </c>
      <c r="Q143">
        <v>2</v>
      </c>
      <c r="R143">
        <v>26010</v>
      </c>
      <c r="S143">
        <f t="shared" si="15"/>
        <v>6.6666666666666666E-2</v>
      </c>
      <c r="T143">
        <v>18</v>
      </c>
      <c r="U143">
        <v>3.14</v>
      </c>
      <c r="V143">
        <v>516876</v>
      </c>
      <c r="W143">
        <v>7892981</v>
      </c>
      <c r="X143">
        <f t="shared" si="16"/>
        <v>15.270550383457541</v>
      </c>
      <c r="Y143" t="str">
        <f t="shared" si="17"/>
        <v>Weak Product</v>
      </c>
    </row>
    <row r="144" spans="1:25" x14ac:dyDescent="0.3">
      <c r="A144" t="s">
        <v>320</v>
      </c>
      <c r="B144" t="s">
        <v>321</v>
      </c>
      <c r="C144" t="s">
        <v>36</v>
      </c>
      <c r="D144" s="1">
        <v>45516</v>
      </c>
      <c r="E144">
        <v>231</v>
      </c>
      <c r="F144" t="s">
        <v>28</v>
      </c>
      <c r="G144">
        <v>13760</v>
      </c>
      <c r="H144">
        <v>10194</v>
      </c>
      <c r="I144">
        <v>99</v>
      </c>
      <c r="J144">
        <v>148</v>
      </c>
      <c r="K144">
        <v>2036480</v>
      </c>
      <c r="L144">
        <v>259849</v>
      </c>
      <c r="M144">
        <v>1776631</v>
      </c>
      <c r="N144">
        <f t="shared" si="12"/>
        <v>1508712</v>
      </c>
      <c r="O144">
        <f t="shared" si="13"/>
        <v>267919</v>
      </c>
      <c r="P144">
        <f t="shared" si="14"/>
        <v>0.1508017140306569</v>
      </c>
      <c r="Q144">
        <v>7</v>
      </c>
      <c r="R144">
        <v>86688</v>
      </c>
      <c r="S144">
        <f t="shared" si="15"/>
        <v>7.0707070707070704E-2</v>
      </c>
      <c r="T144">
        <v>35</v>
      </c>
      <c r="U144">
        <v>3.6</v>
      </c>
      <c r="V144">
        <v>544182</v>
      </c>
      <c r="W144">
        <v>10408989</v>
      </c>
      <c r="X144">
        <f t="shared" si="16"/>
        <v>19.127771591122087</v>
      </c>
      <c r="Y144" t="str">
        <f t="shared" si="17"/>
        <v>Weak Product</v>
      </c>
    </row>
    <row r="145" spans="1:25" x14ac:dyDescent="0.3">
      <c r="A145" t="s">
        <v>322</v>
      </c>
      <c r="B145" t="s">
        <v>323</v>
      </c>
      <c r="C145" t="s">
        <v>36</v>
      </c>
      <c r="D145" s="1">
        <v>45426</v>
      </c>
      <c r="E145">
        <v>321</v>
      </c>
      <c r="F145" t="s">
        <v>28</v>
      </c>
      <c r="G145">
        <v>10537</v>
      </c>
      <c r="H145">
        <v>7815</v>
      </c>
      <c r="I145">
        <v>57</v>
      </c>
      <c r="J145">
        <v>88</v>
      </c>
      <c r="K145">
        <v>927256</v>
      </c>
      <c r="L145">
        <v>111090</v>
      </c>
      <c r="M145">
        <v>816166</v>
      </c>
      <c r="N145">
        <f t="shared" si="12"/>
        <v>687720</v>
      </c>
      <c r="O145">
        <f t="shared" si="13"/>
        <v>128446</v>
      </c>
      <c r="P145">
        <f t="shared" si="14"/>
        <v>0.15737729824570001</v>
      </c>
      <c r="Q145">
        <v>2</v>
      </c>
      <c r="R145">
        <v>18966</v>
      </c>
      <c r="S145">
        <f t="shared" si="15"/>
        <v>3.5087719298245612E-2</v>
      </c>
      <c r="T145">
        <v>22</v>
      </c>
      <c r="U145">
        <v>3.27</v>
      </c>
      <c r="V145">
        <v>645953</v>
      </c>
      <c r="W145">
        <v>7552366</v>
      </c>
      <c r="X145">
        <f t="shared" si="16"/>
        <v>11.691819683475423</v>
      </c>
      <c r="Y145" t="str">
        <f t="shared" si="17"/>
        <v>Weak Product</v>
      </c>
    </row>
    <row r="146" spans="1:25" x14ac:dyDescent="0.3">
      <c r="A146" t="s">
        <v>324</v>
      </c>
      <c r="B146" t="s">
        <v>325</v>
      </c>
      <c r="C146" t="s">
        <v>36</v>
      </c>
      <c r="D146" s="1">
        <v>45120</v>
      </c>
      <c r="E146">
        <v>627</v>
      </c>
      <c r="F146" t="s">
        <v>28</v>
      </c>
      <c r="G146">
        <v>12343</v>
      </c>
      <c r="H146">
        <v>10470</v>
      </c>
      <c r="I146">
        <v>36</v>
      </c>
      <c r="J146">
        <v>55</v>
      </c>
      <c r="K146">
        <v>678865</v>
      </c>
      <c r="L146">
        <v>99382</v>
      </c>
      <c r="M146">
        <v>579483</v>
      </c>
      <c r="N146">
        <f t="shared" si="12"/>
        <v>575850</v>
      </c>
      <c r="O146">
        <f t="shared" si="13"/>
        <v>3633</v>
      </c>
      <c r="P146">
        <f t="shared" si="14"/>
        <v>6.269381500406397E-3</v>
      </c>
      <c r="Q146">
        <v>1</v>
      </c>
      <c r="R146">
        <v>11108</v>
      </c>
      <c r="S146">
        <f t="shared" si="15"/>
        <v>2.7777777777777776E-2</v>
      </c>
      <c r="T146">
        <v>15</v>
      </c>
      <c r="U146">
        <v>3</v>
      </c>
      <c r="V146">
        <v>283783</v>
      </c>
      <c r="W146">
        <v>4972653</v>
      </c>
      <c r="X146">
        <f t="shared" si="16"/>
        <v>17.522730396112522</v>
      </c>
      <c r="Y146" t="str">
        <f t="shared" si="17"/>
        <v>Weak Product</v>
      </c>
    </row>
    <row r="147" spans="1:25" x14ac:dyDescent="0.3">
      <c r="A147" t="s">
        <v>326</v>
      </c>
      <c r="B147" t="s">
        <v>327</v>
      </c>
      <c r="C147" t="s">
        <v>36</v>
      </c>
      <c r="D147" s="1">
        <v>45508</v>
      </c>
      <c r="E147">
        <v>239</v>
      </c>
      <c r="F147" t="s">
        <v>28</v>
      </c>
      <c r="G147">
        <v>1159</v>
      </c>
      <c r="H147">
        <v>725</v>
      </c>
      <c r="I147">
        <v>146</v>
      </c>
      <c r="J147">
        <v>216</v>
      </c>
      <c r="K147">
        <v>250344</v>
      </c>
      <c r="L147">
        <v>33744</v>
      </c>
      <c r="M147">
        <v>216600</v>
      </c>
      <c r="N147">
        <f t="shared" si="12"/>
        <v>156600</v>
      </c>
      <c r="O147">
        <f t="shared" si="13"/>
        <v>60000</v>
      </c>
      <c r="P147">
        <f t="shared" si="14"/>
        <v>0.2770083102493075</v>
      </c>
      <c r="Q147">
        <v>14</v>
      </c>
      <c r="R147">
        <v>14602</v>
      </c>
      <c r="S147">
        <f t="shared" si="15"/>
        <v>9.5890410958904104E-2</v>
      </c>
      <c r="T147">
        <v>69</v>
      </c>
      <c r="U147">
        <v>4.18</v>
      </c>
      <c r="V147">
        <v>203039</v>
      </c>
      <c r="W147">
        <v>322748</v>
      </c>
      <c r="X147">
        <f t="shared" si="16"/>
        <v>1.5895862371268574</v>
      </c>
      <c r="Y147" t="str">
        <f t="shared" si="17"/>
        <v>Weak Product</v>
      </c>
    </row>
    <row r="148" spans="1:25" x14ac:dyDescent="0.3">
      <c r="A148" t="s">
        <v>328</v>
      </c>
      <c r="B148" t="s">
        <v>329</v>
      </c>
      <c r="C148" t="s">
        <v>36</v>
      </c>
      <c r="D148" s="1">
        <v>44981</v>
      </c>
      <c r="E148">
        <v>766</v>
      </c>
      <c r="F148" t="s">
        <v>28</v>
      </c>
      <c r="G148">
        <v>11801</v>
      </c>
      <c r="H148">
        <v>10588</v>
      </c>
      <c r="I148">
        <v>80</v>
      </c>
      <c r="J148">
        <v>114</v>
      </c>
      <c r="K148">
        <v>1345314</v>
      </c>
      <c r="L148">
        <v>188905</v>
      </c>
      <c r="M148">
        <v>1156409</v>
      </c>
      <c r="N148">
        <f t="shared" si="12"/>
        <v>1207032</v>
      </c>
      <c r="O148">
        <f t="shared" si="13"/>
        <v>-50623</v>
      </c>
      <c r="P148">
        <f t="shared" si="14"/>
        <v>-4.3776034257775577E-2</v>
      </c>
      <c r="Q148">
        <v>12</v>
      </c>
      <c r="R148">
        <v>127440</v>
      </c>
      <c r="S148">
        <f t="shared" si="15"/>
        <v>0.15</v>
      </c>
      <c r="T148">
        <v>32</v>
      </c>
      <c r="U148">
        <v>2.78</v>
      </c>
      <c r="V148">
        <v>306171</v>
      </c>
      <c r="W148">
        <v>3374036</v>
      </c>
      <c r="X148">
        <f t="shared" si="16"/>
        <v>11.02010314497454</v>
      </c>
      <c r="Y148" t="str">
        <f t="shared" si="17"/>
        <v>Weak Product</v>
      </c>
    </row>
    <row r="149" spans="1:25" x14ac:dyDescent="0.3">
      <c r="A149" t="s">
        <v>330</v>
      </c>
      <c r="B149" t="s">
        <v>331</v>
      </c>
      <c r="C149" t="s">
        <v>36</v>
      </c>
      <c r="D149" s="1">
        <v>45264</v>
      </c>
      <c r="E149">
        <v>483</v>
      </c>
      <c r="F149" t="s">
        <v>28</v>
      </c>
      <c r="G149">
        <v>17681</v>
      </c>
      <c r="H149">
        <v>14201</v>
      </c>
      <c r="I149">
        <v>37</v>
      </c>
      <c r="J149">
        <v>56</v>
      </c>
      <c r="K149">
        <v>990136</v>
      </c>
      <c r="L149">
        <v>184467</v>
      </c>
      <c r="M149">
        <v>805669</v>
      </c>
      <c r="N149">
        <f t="shared" si="12"/>
        <v>795256</v>
      </c>
      <c r="O149">
        <f t="shared" si="13"/>
        <v>10413</v>
      </c>
      <c r="P149">
        <f t="shared" si="14"/>
        <v>1.2924662609582844E-2</v>
      </c>
      <c r="Q149">
        <v>4</v>
      </c>
      <c r="R149">
        <v>63648</v>
      </c>
      <c r="S149">
        <f t="shared" si="15"/>
        <v>0.10810810810810811</v>
      </c>
      <c r="T149">
        <v>14</v>
      </c>
      <c r="U149">
        <v>3.57</v>
      </c>
      <c r="V149">
        <v>142500</v>
      </c>
      <c r="W149">
        <v>2777947</v>
      </c>
      <c r="X149">
        <f t="shared" si="16"/>
        <v>19.494364912280702</v>
      </c>
      <c r="Y149" t="str">
        <f t="shared" si="17"/>
        <v>Weak Product</v>
      </c>
    </row>
    <row r="150" spans="1:25" x14ac:dyDescent="0.3">
      <c r="A150" t="s">
        <v>332</v>
      </c>
      <c r="B150" t="s">
        <v>333</v>
      </c>
      <c r="C150" t="s">
        <v>36</v>
      </c>
      <c r="D150" s="1">
        <v>44888</v>
      </c>
      <c r="E150">
        <v>859</v>
      </c>
      <c r="F150" t="s">
        <v>28</v>
      </c>
      <c r="G150">
        <v>19836</v>
      </c>
      <c r="H150">
        <v>17094</v>
      </c>
      <c r="I150">
        <v>31</v>
      </c>
      <c r="J150">
        <v>43</v>
      </c>
      <c r="K150">
        <v>852948</v>
      </c>
      <c r="L150">
        <v>86344</v>
      </c>
      <c r="M150">
        <v>766604</v>
      </c>
      <c r="N150">
        <f t="shared" si="12"/>
        <v>735042</v>
      </c>
      <c r="O150">
        <f t="shared" si="13"/>
        <v>31562</v>
      </c>
      <c r="P150">
        <f t="shared" si="14"/>
        <v>4.1171191384339244E-2</v>
      </c>
      <c r="Q150">
        <v>3</v>
      </c>
      <c r="R150">
        <v>53556</v>
      </c>
      <c r="S150">
        <f t="shared" si="15"/>
        <v>9.6774193548387094E-2</v>
      </c>
      <c r="T150">
        <v>15</v>
      </c>
      <c r="U150">
        <v>2.83</v>
      </c>
      <c r="V150">
        <v>640593</v>
      </c>
      <c r="W150">
        <v>14982098</v>
      </c>
      <c r="X150">
        <f t="shared" si="16"/>
        <v>23.387857812995147</v>
      </c>
      <c r="Y150" t="str">
        <f t="shared" si="17"/>
        <v>Weak Product</v>
      </c>
    </row>
    <row r="151" spans="1:25" x14ac:dyDescent="0.3">
      <c r="A151" t="s">
        <v>334</v>
      </c>
      <c r="B151" t="s">
        <v>335</v>
      </c>
      <c r="C151" t="s">
        <v>36</v>
      </c>
      <c r="D151" s="1">
        <v>45259</v>
      </c>
      <c r="E151">
        <v>488</v>
      </c>
      <c r="F151" t="s">
        <v>28</v>
      </c>
      <c r="G151">
        <v>16213</v>
      </c>
      <c r="H151">
        <v>10162</v>
      </c>
      <c r="I151">
        <v>76</v>
      </c>
      <c r="J151">
        <v>115</v>
      </c>
      <c r="K151">
        <v>1864495</v>
      </c>
      <c r="L151">
        <v>317309</v>
      </c>
      <c r="M151">
        <v>1547186</v>
      </c>
      <c r="N151">
        <f t="shared" si="12"/>
        <v>1168630</v>
      </c>
      <c r="O151">
        <f t="shared" si="13"/>
        <v>378556</v>
      </c>
      <c r="P151">
        <f t="shared" si="14"/>
        <v>0.24467387890014516</v>
      </c>
      <c r="Q151">
        <v>6</v>
      </c>
      <c r="R151">
        <v>87546</v>
      </c>
      <c r="S151">
        <f t="shared" si="15"/>
        <v>7.8947368421052627E-2</v>
      </c>
      <c r="T151">
        <v>28</v>
      </c>
      <c r="U151">
        <v>3.86</v>
      </c>
      <c r="V151">
        <v>102077</v>
      </c>
      <c r="W151">
        <v>2725584</v>
      </c>
      <c r="X151">
        <f t="shared" si="16"/>
        <v>26.701254935000048</v>
      </c>
      <c r="Y151" t="str">
        <f t="shared" si="17"/>
        <v>Weak Product</v>
      </c>
    </row>
    <row r="152" spans="1:25" x14ac:dyDescent="0.3">
      <c r="A152" t="s">
        <v>336</v>
      </c>
      <c r="B152" t="s">
        <v>337</v>
      </c>
      <c r="C152" t="s">
        <v>36</v>
      </c>
      <c r="D152" s="1">
        <v>45150</v>
      </c>
      <c r="E152">
        <v>597</v>
      </c>
      <c r="F152" t="s">
        <v>28</v>
      </c>
      <c r="G152">
        <v>16244</v>
      </c>
      <c r="H152">
        <v>10767</v>
      </c>
      <c r="I152">
        <v>76</v>
      </c>
      <c r="J152">
        <v>116</v>
      </c>
      <c r="K152">
        <v>1884304</v>
      </c>
      <c r="L152">
        <v>248494</v>
      </c>
      <c r="M152">
        <v>1635810</v>
      </c>
      <c r="N152">
        <f t="shared" si="12"/>
        <v>1248972</v>
      </c>
      <c r="O152">
        <f t="shared" si="13"/>
        <v>386838</v>
      </c>
      <c r="P152">
        <f t="shared" si="14"/>
        <v>0.23648100940818309</v>
      </c>
      <c r="Q152">
        <v>9</v>
      </c>
      <c r="R152">
        <v>131571</v>
      </c>
      <c r="S152">
        <f t="shared" si="15"/>
        <v>0.11842105263157894</v>
      </c>
      <c r="T152">
        <v>31</v>
      </c>
      <c r="U152">
        <v>3.73</v>
      </c>
      <c r="V152">
        <v>441928</v>
      </c>
      <c r="W152">
        <v>7926841</v>
      </c>
      <c r="X152">
        <f t="shared" si="16"/>
        <v>17.93695126807987</v>
      </c>
      <c r="Y152" t="str">
        <f t="shared" si="17"/>
        <v>Weak Product</v>
      </c>
    </row>
    <row r="153" spans="1:25" x14ac:dyDescent="0.3">
      <c r="A153" t="s">
        <v>338</v>
      </c>
      <c r="B153" t="s">
        <v>339</v>
      </c>
      <c r="C153" t="s">
        <v>36</v>
      </c>
      <c r="D153" s="1">
        <v>45131</v>
      </c>
      <c r="E153">
        <v>616</v>
      </c>
      <c r="F153" t="s">
        <v>28</v>
      </c>
      <c r="G153">
        <v>4795</v>
      </c>
      <c r="H153">
        <v>2666</v>
      </c>
      <c r="I153">
        <v>124</v>
      </c>
      <c r="J153">
        <v>189</v>
      </c>
      <c r="K153">
        <v>906255</v>
      </c>
      <c r="L153">
        <v>137782</v>
      </c>
      <c r="M153">
        <v>768473</v>
      </c>
      <c r="N153">
        <f t="shared" si="12"/>
        <v>503874</v>
      </c>
      <c r="O153">
        <f t="shared" si="13"/>
        <v>264599</v>
      </c>
      <c r="P153">
        <f t="shared" si="14"/>
        <v>0.34431788755102649</v>
      </c>
      <c r="Q153">
        <v>10</v>
      </c>
      <c r="R153">
        <v>43150</v>
      </c>
      <c r="S153">
        <f t="shared" si="15"/>
        <v>8.0645161290322578E-2</v>
      </c>
      <c r="T153">
        <v>52</v>
      </c>
      <c r="U153">
        <v>4.24</v>
      </c>
      <c r="V153">
        <v>364917</v>
      </c>
      <c r="W153">
        <v>1920439</v>
      </c>
      <c r="X153">
        <f t="shared" si="16"/>
        <v>5.262673429848431</v>
      </c>
      <c r="Y153" t="str">
        <f t="shared" si="17"/>
        <v>Weak Product</v>
      </c>
    </row>
    <row r="154" spans="1:25" x14ac:dyDescent="0.3">
      <c r="A154" t="s">
        <v>340</v>
      </c>
      <c r="B154" t="s">
        <v>341</v>
      </c>
      <c r="C154" t="s">
        <v>36</v>
      </c>
      <c r="D154" s="1">
        <v>45519</v>
      </c>
      <c r="E154">
        <v>228</v>
      </c>
      <c r="F154" t="s">
        <v>28</v>
      </c>
      <c r="G154">
        <v>7839</v>
      </c>
      <c r="H154">
        <v>5290</v>
      </c>
      <c r="I154">
        <v>88</v>
      </c>
      <c r="J154">
        <v>127</v>
      </c>
      <c r="K154">
        <v>995553</v>
      </c>
      <c r="L154">
        <v>197423</v>
      </c>
      <c r="M154">
        <v>798130</v>
      </c>
      <c r="N154">
        <f t="shared" si="12"/>
        <v>671830</v>
      </c>
      <c r="O154">
        <f t="shared" si="13"/>
        <v>126300</v>
      </c>
      <c r="P154">
        <f t="shared" si="14"/>
        <v>0.15824489744778419</v>
      </c>
      <c r="Q154">
        <v>7</v>
      </c>
      <c r="R154">
        <v>49385</v>
      </c>
      <c r="S154">
        <f t="shared" si="15"/>
        <v>7.9545454545454544E-2</v>
      </c>
      <c r="T154">
        <v>26</v>
      </c>
      <c r="U154">
        <v>4</v>
      </c>
      <c r="V154">
        <v>120397</v>
      </c>
      <c r="W154">
        <v>628365</v>
      </c>
      <c r="X154">
        <f t="shared" si="16"/>
        <v>5.2191084495460851</v>
      </c>
      <c r="Y154" t="str">
        <f t="shared" si="17"/>
        <v>Weak Product</v>
      </c>
    </row>
    <row r="155" spans="1:25" x14ac:dyDescent="0.3">
      <c r="A155" t="s">
        <v>342</v>
      </c>
      <c r="B155" t="s">
        <v>343</v>
      </c>
      <c r="C155" t="s">
        <v>32</v>
      </c>
      <c r="D155" s="1">
        <v>45424</v>
      </c>
      <c r="E155">
        <v>323</v>
      </c>
      <c r="F155" t="s">
        <v>28</v>
      </c>
      <c r="G155">
        <v>2850</v>
      </c>
      <c r="H155">
        <v>1459</v>
      </c>
      <c r="I155">
        <v>81</v>
      </c>
      <c r="J155">
        <v>122</v>
      </c>
      <c r="K155">
        <v>347700</v>
      </c>
      <c r="L155">
        <v>58903</v>
      </c>
      <c r="M155">
        <v>288797</v>
      </c>
      <c r="N155">
        <f t="shared" si="12"/>
        <v>177998</v>
      </c>
      <c r="O155">
        <f t="shared" si="13"/>
        <v>110799</v>
      </c>
      <c r="P155">
        <f t="shared" si="14"/>
        <v>0.38365703244839799</v>
      </c>
      <c r="Q155">
        <v>11</v>
      </c>
      <c r="R155">
        <v>28215</v>
      </c>
      <c r="S155">
        <f t="shared" si="15"/>
        <v>0.13580246913580246</v>
      </c>
      <c r="T155">
        <v>31</v>
      </c>
      <c r="U155">
        <v>4.3099999999999996</v>
      </c>
      <c r="V155">
        <v>571080</v>
      </c>
      <c r="W155">
        <v>1836770</v>
      </c>
      <c r="X155">
        <f t="shared" si="16"/>
        <v>3.216309448763746</v>
      </c>
      <c r="Y155" t="str">
        <f t="shared" si="17"/>
        <v>Weak Product</v>
      </c>
    </row>
    <row r="156" spans="1:25" x14ac:dyDescent="0.3">
      <c r="A156" t="s">
        <v>344</v>
      </c>
      <c r="B156" t="s">
        <v>345</v>
      </c>
      <c r="C156" t="s">
        <v>32</v>
      </c>
      <c r="D156" s="1">
        <v>45467</v>
      </c>
      <c r="E156">
        <v>280</v>
      </c>
      <c r="F156" t="s">
        <v>28</v>
      </c>
      <c r="G156">
        <v>10941</v>
      </c>
      <c r="H156">
        <v>9000</v>
      </c>
      <c r="I156">
        <v>87</v>
      </c>
      <c r="J156">
        <v>133</v>
      </c>
      <c r="K156">
        <v>1455153</v>
      </c>
      <c r="L156">
        <v>133567</v>
      </c>
      <c r="M156">
        <v>1321586</v>
      </c>
      <c r="N156">
        <f t="shared" si="12"/>
        <v>1197000</v>
      </c>
      <c r="O156">
        <f t="shared" si="13"/>
        <v>124586</v>
      </c>
      <c r="P156">
        <f t="shared" si="14"/>
        <v>9.4270066420195128E-2</v>
      </c>
      <c r="Q156">
        <v>8</v>
      </c>
      <c r="R156">
        <v>78768</v>
      </c>
      <c r="S156">
        <f t="shared" si="15"/>
        <v>9.1954022988505746E-2</v>
      </c>
      <c r="T156">
        <v>30</v>
      </c>
      <c r="U156">
        <v>3.18</v>
      </c>
      <c r="V156">
        <v>624799</v>
      </c>
      <c r="W156">
        <v>7123565</v>
      </c>
      <c r="X156">
        <f t="shared" si="16"/>
        <v>11.401370680810949</v>
      </c>
      <c r="Y156" t="str">
        <f t="shared" si="17"/>
        <v>Weak Product</v>
      </c>
    </row>
    <row r="157" spans="1:25" x14ac:dyDescent="0.3">
      <c r="A157" t="s">
        <v>346</v>
      </c>
      <c r="B157" t="s">
        <v>347</v>
      </c>
      <c r="C157" t="s">
        <v>32</v>
      </c>
      <c r="D157" s="1">
        <v>45371</v>
      </c>
      <c r="E157">
        <v>376</v>
      </c>
      <c r="F157" t="s">
        <v>28</v>
      </c>
      <c r="G157">
        <v>14575</v>
      </c>
      <c r="H157">
        <v>9255</v>
      </c>
      <c r="I157">
        <v>95</v>
      </c>
      <c r="J157">
        <v>146</v>
      </c>
      <c r="K157">
        <v>2127950</v>
      </c>
      <c r="L157">
        <v>350157</v>
      </c>
      <c r="M157">
        <v>1777793</v>
      </c>
      <c r="N157">
        <f t="shared" si="12"/>
        <v>1351230</v>
      </c>
      <c r="O157">
        <f t="shared" si="13"/>
        <v>426563</v>
      </c>
      <c r="P157">
        <f t="shared" si="14"/>
        <v>0.23993963301689231</v>
      </c>
      <c r="Q157">
        <v>4</v>
      </c>
      <c r="R157">
        <v>52468</v>
      </c>
      <c r="S157">
        <f t="shared" si="15"/>
        <v>4.2105263157894736E-2</v>
      </c>
      <c r="T157">
        <v>40</v>
      </c>
      <c r="U157">
        <v>3.91</v>
      </c>
      <c r="V157">
        <v>597119</v>
      </c>
      <c r="W157">
        <v>11207311</v>
      </c>
      <c r="X157">
        <f t="shared" si="16"/>
        <v>18.768974023603334</v>
      </c>
      <c r="Y157" t="str">
        <f t="shared" si="17"/>
        <v>Weak Product</v>
      </c>
    </row>
    <row r="158" spans="1:25" x14ac:dyDescent="0.3">
      <c r="A158" t="s">
        <v>348</v>
      </c>
      <c r="B158" t="s">
        <v>349</v>
      </c>
      <c r="C158" t="s">
        <v>32</v>
      </c>
      <c r="D158" s="1">
        <v>44951</v>
      </c>
      <c r="E158">
        <v>796</v>
      </c>
      <c r="F158" t="s">
        <v>28</v>
      </c>
      <c r="G158">
        <v>2801</v>
      </c>
      <c r="H158">
        <v>1877</v>
      </c>
      <c r="I158">
        <v>177</v>
      </c>
      <c r="J158">
        <v>274</v>
      </c>
      <c r="K158">
        <v>767474</v>
      </c>
      <c r="L158">
        <v>91949</v>
      </c>
      <c r="M158">
        <v>675525</v>
      </c>
      <c r="N158">
        <f t="shared" si="12"/>
        <v>514298</v>
      </c>
      <c r="O158">
        <f t="shared" si="13"/>
        <v>161227</v>
      </c>
      <c r="P158">
        <f t="shared" si="14"/>
        <v>0.23866918322785982</v>
      </c>
      <c r="Q158">
        <v>22</v>
      </c>
      <c r="R158">
        <v>55440</v>
      </c>
      <c r="S158">
        <f t="shared" si="15"/>
        <v>0.12429378531073447</v>
      </c>
      <c r="T158">
        <v>74</v>
      </c>
      <c r="U158">
        <v>3.69</v>
      </c>
      <c r="V158">
        <v>486367</v>
      </c>
      <c r="W158">
        <v>2032122</v>
      </c>
      <c r="X158">
        <f t="shared" si="16"/>
        <v>4.1781658706285585</v>
      </c>
      <c r="Y158" t="str">
        <f t="shared" si="17"/>
        <v>Weak Product</v>
      </c>
    </row>
    <row r="159" spans="1:25" x14ac:dyDescent="0.3">
      <c r="A159" t="s">
        <v>350</v>
      </c>
      <c r="B159" t="s">
        <v>351</v>
      </c>
      <c r="C159" t="s">
        <v>32</v>
      </c>
      <c r="D159" s="1">
        <v>45097</v>
      </c>
      <c r="E159">
        <v>650</v>
      </c>
      <c r="F159" t="s">
        <v>28</v>
      </c>
      <c r="G159">
        <v>8041</v>
      </c>
      <c r="H159">
        <v>6864</v>
      </c>
      <c r="I159">
        <v>78</v>
      </c>
      <c r="J159">
        <v>114</v>
      </c>
      <c r="K159">
        <v>916674</v>
      </c>
      <c r="L159">
        <v>164886</v>
      </c>
      <c r="M159">
        <v>751788</v>
      </c>
      <c r="N159">
        <f t="shared" si="12"/>
        <v>782496</v>
      </c>
      <c r="O159">
        <f t="shared" si="13"/>
        <v>-30708</v>
      </c>
      <c r="P159">
        <f t="shared" si="14"/>
        <v>-4.0846621653976921E-2</v>
      </c>
      <c r="Q159">
        <v>1</v>
      </c>
      <c r="R159">
        <v>7236</v>
      </c>
      <c r="S159">
        <f t="shared" si="15"/>
        <v>1.282051282051282E-2</v>
      </c>
      <c r="T159">
        <v>38</v>
      </c>
      <c r="U159">
        <v>2.89</v>
      </c>
      <c r="V159">
        <v>602100</v>
      </c>
      <c r="W159">
        <v>5801185</v>
      </c>
      <c r="X159">
        <f t="shared" si="16"/>
        <v>9.6349194485965786</v>
      </c>
      <c r="Y159" t="str">
        <f t="shared" si="17"/>
        <v>Weak Product</v>
      </c>
    </row>
    <row r="160" spans="1:25" x14ac:dyDescent="0.3">
      <c r="A160" t="s">
        <v>352</v>
      </c>
      <c r="B160" t="s">
        <v>353</v>
      </c>
      <c r="C160" t="s">
        <v>32</v>
      </c>
      <c r="D160" s="1">
        <v>45613</v>
      </c>
      <c r="E160">
        <v>134</v>
      </c>
      <c r="F160" t="s">
        <v>28</v>
      </c>
      <c r="G160">
        <v>15501</v>
      </c>
      <c r="H160">
        <v>8688</v>
      </c>
      <c r="I160">
        <v>69</v>
      </c>
      <c r="J160">
        <v>103</v>
      </c>
      <c r="K160">
        <v>1596603</v>
      </c>
      <c r="L160">
        <v>190997</v>
      </c>
      <c r="M160">
        <v>1405606</v>
      </c>
      <c r="N160">
        <f t="shared" si="12"/>
        <v>894864</v>
      </c>
      <c r="O160">
        <f t="shared" si="13"/>
        <v>510742</v>
      </c>
      <c r="P160">
        <f t="shared" si="14"/>
        <v>0.36336071416883536</v>
      </c>
      <c r="Q160">
        <v>4</v>
      </c>
      <c r="R160">
        <v>55800</v>
      </c>
      <c r="S160">
        <f t="shared" si="15"/>
        <v>5.7971014492753624E-2</v>
      </c>
      <c r="T160">
        <v>19</v>
      </c>
      <c r="U160">
        <v>4.21</v>
      </c>
      <c r="V160">
        <v>447271</v>
      </c>
      <c r="W160">
        <v>10208245</v>
      </c>
      <c r="X160">
        <f t="shared" si="16"/>
        <v>22.823400131016765</v>
      </c>
      <c r="Y160" t="str">
        <f t="shared" si="17"/>
        <v>Weak Product</v>
      </c>
    </row>
    <row r="161" spans="1:25" x14ac:dyDescent="0.3">
      <c r="A161" t="s">
        <v>354</v>
      </c>
      <c r="B161" t="s">
        <v>355</v>
      </c>
      <c r="C161" t="s">
        <v>32</v>
      </c>
      <c r="D161" s="1">
        <v>45477</v>
      </c>
      <c r="E161">
        <v>270</v>
      </c>
      <c r="F161" t="s">
        <v>28</v>
      </c>
      <c r="G161">
        <v>10889</v>
      </c>
      <c r="H161">
        <v>5565</v>
      </c>
      <c r="I161">
        <v>82</v>
      </c>
      <c r="J161">
        <v>120</v>
      </c>
      <c r="K161">
        <v>1306680</v>
      </c>
      <c r="L161">
        <v>161284</v>
      </c>
      <c r="M161">
        <v>1145396</v>
      </c>
      <c r="N161">
        <f t="shared" si="12"/>
        <v>667800</v>
      </c>
      <c r="O161">
        <f t="shared" si="13"/>
        <v>477596</v>
      </c>
      <c r="P161">
        <f t="shared" si="14"/>
        <v>0.41697020069914686</v>
      </c>
      <c r="Q161">
        <v>0</v>
      </c>
      <c r="R161">
        <v>0</v>
      </c>
      <c r="S161">
        <f t="shared" si="15"/>
        <v>0</v>
      </c>
      <c r="T161">
        <v>27</v>
      </c>
      <c r="U161">
        <v>4.33</v>
      </c>
      <c r="V161">
        <v>134357</v>
      </c>
      <c r="W161">
        <v>1632302</v>
      </c>
      <c r="X161">
        <f t="shared" si="16"/>
        <v>12.148991120671049</v>
      </c>
      <c r="Y161" t="str">
        <f t="shared" si="17"/>
        <v>Star</v>
      </c>
    </row>
    <row r="162" spans="1:25" x14ac:dyDescent="0.3">
      <c r="A162" t="s">
        <v>356</v>
      </c>
      <c r="B162" t="s">
        <v>357</v>
      </c>
      <c r="C162" t="s">
        <v>32</v>
      </c>
      <c r="D162" s="1">
        <v>45354</v>
      </c>
      <c r="E162">
        <v>393</v>
      </c>
      <c r="F162" t="s">
        <v>28</v>
      </c>
      <c r="G162">
        <v>19678</v>
      </c>
      <c r="H162">
        <v>17212</v>
      </c>
      <c r="I162">
        <v>50</v>
      </c>
      <c r="J162">
        <v>77</v>
      </c>
      <c r="K162">
        <v>1515206</v>
      </c>
      <c r="L162">
        <v>236864</v>
      </c>
      <c r="M162">
        <v>1278342</v>
      </c>
      <c r="N162">
        <f t="shared" si="12"/>
        <v>1325324</v>
      </c>
      <c r="O162">
        <f t="shared" si="13"/>
        <v>-46982</v>
      </c>
      <c r="P162">
        <f t="shared" si="14"/>
        <v>-3.6752293204791835E-2</v>
      </c>
      <c r="Q162">
        <v>1</v>
      </c>
      <c r="R162">
        <v>17710</v>
      </c>
      <c r="S162">
        <f t="shared" si="15"/>
        <v>0.02</v>
      </c>
      <c r="T162">
        <v>23</v>
      </c>
      <c r="U162">
        <v>3.13</v>
      </c>
      <c r="V162">
        <v>128198</v>
      </c>
      <c r="W162">
        <v>2524041</v>
      </c>
      <c r="X162">
        <f t="shared" si="16"/>
        <v>19.688614486965474</v>
      </c>
      <c r="Y162" t="str">
        <f t="shared" si="17"/>
        <v>Weak Product</v>
      </c>
    </row>
    <row r="163" spans="1:25" x14ac:dyDescent="0.3">
      <c r="A163" t="s">
        <v>358</v>
      </c>
      <c r="B163" t="s">
        <v>359</v>
      </c>
      <c r="C163" t="s">
        <v>32</v>
      </c>
      <c r="D163" s="1">
        <v>45308</v>
      </c>
      <c r="E163">
        <v>439</v>
      </c>
      <c r="F163" t="s">
        <v>28</v>
      </c>
      <c r="G163">
        <v>19765</v>
      </c>
      <c r="H163">
        <v>13278</v>
      </c>
      <c r="I163">
        <v>38</v>
      </c>
      <c r="J163">
        <v>55</v>
      </c>
      <c r="K163">
        <v>1087075</v>
      </c>
      <c r="L163">
        <v>149744</v>
      </c>
      <c r="M163">
        <v>937331</v>
      </c>
      <c r="N163">
        <f t="shared" si="12"/>
        <v>730290</v>
      </c>
      <c r="O163">
        <f t="shared" si="13"/>
        <v>207041</v>
      </c>
      <c r="P163">
        <f t="shared" si="14"/>
        <v>0.22088355127484313</v>
      </c>
      <c r="Q163">
        <v>0</v>
      </c>
      <c r="R163">
        <v>0</v>
      </c>
      <c r="S163">
        <f t="shared" si="15"/>
        <v>0</v>
      </c>
      <c r="T163">
        <v>15</v>
      </c>
      <c r="U163">
        <v>3.87</v>
      </c>
      <c r="V163">
        <v>137309</v>
      </c>
      <c r="W163">
        <v>2067038</v>
      </c>
      <c r="X163">
        <f t="shared" si="16"/>
        <v>15.053914892687297</v>
      </c>
      <c r="Y163" t="str">
        <f t="shared" si="17"/>
        <v>Weak Product</v>
      </c>
    </row>
    <row r="164" spans="1:25" x14ac:dyDescent="0.3">
      <c r="A164" t="s">
        <v>360</v>
      </c>
      <c r="B164" t="s">
        <v>361</v>
      </c>
      <c r="C164" t="s">
        <v>32</v>
      </c>
      <c r="D164" s="1">
        <v>45322</v>
      </c>
      <c r="E164">
        <v>425</v>
      </c>
      <c r="F164" t="s">
        <v>28</v>
      </c>
      <c r="G164">
        <v>6467</v>
      </c>
      <c r="H164">
        <v>4884</v>
      </c>
      <c r="I164">
        <v>120</v>
      </c>
      <c r="J164">
        <v>180</v>
      </c>
      <c r="K164">
        <v>1164060</v>
      </c>
      <c r="L164">
        <v>153383</v>
      </c>
      <c r="M164">
        <v>1010677</v>
      </c>
      <c r="N164">
        <f t="shared" si="12"/>
        <v>879120</v>
      </c>
      <c r="O164">
        <f t="shared" si="13"/>
        <v>131557</v>
      </c>
      <c r="P164">
        <f t="shared" si="14"/>
        <v>0.13016720475483265</v>
      </c>
      <c r="Q164">
        <v>16</v>
      </c>
      <c r="R164">
        <v>93120</v>
      </c>
      <c r="S164">
        <f t="shared" si="15"/>
        <v>0.13333333333333333</v>
      </c>
      <c r="T164">
        <v>43</v>
      </c>
      <c r="U164">
        <v>3.42</v>
      </c>
      <c r="V164">
        <v>295600</v>
      </c>
      <c r="W164">
        <v>2609764</v>
      </c>
      <c r="X164">
        <f t="shared" si="16"/>
        <v>8.8287009472259808</v>
      </c>
      <c r="Y164" t="str">
        <f t="shared" si="17"/>
        <v>Weak Product</v>
      </c>
    </row>
    <row r="165" spans="1:25" x14ac:dyDescent="0.3">
      <c r="A165" t="s">
        <v>362</v>
      </c>
      <c r="B165" t="s">
        <v>363</v>
      </c>
      <c r="C165" t="s">
        <v>32</v>
      </c>
      <c r="D165" s="1">
        <v>44875</v>
      </c>
      <c r="E165">
        <v>872</v>
      </c>
      <c r="F165" t="s">
        <v>28</v>
      </c>
      <c r="G165">
        <v>16832</v>
      </c>
      <c r="H165">
        <v>10254</v>
      </c>
      <c r="I165">
        <v>66</v>
      </c>
      <c r="J165">
        <v>106</v>
      </c>
      <c r="K165">
        <v>1784192</v>
      </c>
      <c r="L165">
        <v>300265</v>
      </c>
      <c r="M165">
        <v>1483927</v>
      </c>
      <c r="N165">
        <f t="shared" si="12"/>
        <v>1086924</v>
      </c>
      <c r="O165">
        <f t="shared" si="13"/>
        <v>397003</v>
      </c>
      <c r="P165">
        <f t="shared" si="14"/>
        <v>0.26753539763074596</v>
      </c>
      <c r="Q165">
        <v>3</v>
      </c>
      <c r="R165">
        <v>45444</v>
      </c>
      <c r="S165">
        <f t="shared" si="15"/>
        <v>4.5454545454545456E-2</v>
      </c>
      <c r="T165">
        <v>29</v>
      </c>
      <c r="U165">
        <v>4.12</v>
      </c>
      <c r="V165">
        <v>383540</v>
      </c>
      <c r="W165">
        <v>3706100</v>
      </c>
      <c r="X165">
        <f t="shared" si="16"/>
        <v>9.662877405225009</v>
      </c>
      <c r="Y165" t="str">
        <f t="shared" si="17"/>
        <v>Star</v>
      </c>
    </row>
    <row r="166" spans="1:25" x14ac:dyDescent="0.3">
      <c r="A166" t="s">
        <v>364</v>
      </c>
      <c r="B166" t="s">
        <v>365</v>
      </c>
      <c r="C166" t="s">
        <v>32</v>
      </c>
      <c r="D166" s="1">
        <v>45231</v>
      </c>
      <c r="E166">
        <v>516</v>
      </c>
      <c r="F166" t="s">
        <v>28</v>
      </c>
      <c r="G166">
        <v>12516</v>
      </c>
      <c r="H166">
        <v>6094</v>
      </c>
      <c r="I166">
        <v>96</v>
      </c>
      <c r="J166">
        <v>147</v>
      </c>
      <c r="K166">
        <v>1839852</v>
      </c>
      <c r="L166">
        <v>165015</v>
      </c>
      <c r="M166">
        <v>1674837</v>
      </c>
      <c r="N166">
        <f t="shared" si="12"/>
        <v>895818</v>
      </c>
      <c r="O166">
        <f t="shared" si="13"/>
        <v>779019</v>
      </c>
      <c r="P166">
        <f t="shared" si="14"/>
        <v>0.46513123366632098</v>
      </c>
      <c r="Q166">
        <v>12</v>
      </c>
      <c r="R166">
        <v>135168</v>
      </c>
      <c r="S166">
        <f t="shared" si="15"/>
        <v>0.125</v>
      </c>
      <c r="T166">
        <v>47</v>
      </c>
      <c r="U166">
        <v>4.63</v>
      </c>
      <c r="V166">
        <v>541457</v>
      </c>
      <c r="W166">
        <v>5685462</v>
      </c>
      <c r="X166">
        <f t="shared" si="16"/>
        <v>10.500301963036769</v>
      </c>
      <c r="Y166" t="str">
        <f t="shared" si="17"/>
        <v>Weak Product</v>
      </c>
    </row>
    <row r="167" spans="1:25" x14ac:dyDescent="0.3">
      <c r="A167" t="s">
        <v>366</v>
      </c>
      <c r="B167" t="s">
        <v>367</v>
      </c>
      <c r="C167" t="s">
        <v>32</v>
      </c>
      <c r="D167" s="1">
        <v>45529</v>
      </c>
      <c r="E167">
        <v>218</v>
      </c>
      <c r="F167" t="s">
        <v>28</v>
      </c>
      <c r="G167">
        <v>11102</v>
      </c>
      <c r="H167">
        <v>9519</v>
      </c>
      <c r="I167">
        <v>105</v>
      </c>
      <c r="J167">
        <v>157</v>
      </c>
      <c r="K167">
        <v>1743014</v>
      </c>
      <c r="L167">
        <v>345108</v>
      </c>
      <c r="M167">
        <v>1397906</v>
      </c>
      <c r="N167">
        <f t="shared" si="12"/>
        <v>1494483</v>
      </c>
      <c r="O167">
        <f t="shared" si="13"/>
        <v>-96577</v>
      </c>
      <c r="P167">
        <f t="shared" si="14"/>
        <v>-6.9086905700383283E-2</v>
      </c>
      <c r="Q167">
        <v>3</v>
      </c>
      <c r="R167">
        <v>29973</v>
      </c>
      <c r="S167">
        <f t="shared" si="15"/>
        <v>2.8571428571428571E-2</v>
      </c>
      <c r="T167">
        <v>39</v>
      </c>
      <c r="U167">
        <v>3.24</v>
      </c>
      <c r="V167">
        <v>173695</v>
      </c>
      <c r="W167">
        <v>3119086</v>
      </c>
      <c r="X167">
        <f t="shared" si="16"/>
        <v>17.957258412734966</v>
      </c>
      <c r="Y167" t="str">
        <f t="shared" si="17"/>
        <v>Weak Product</v>
      </c>
    </row>
    <row r="168" spans="1:25" x14ac:dyDescent="0.3">
      <c r="A168" t="s">
        <v>368</v>
      </c>
      <c r="B168" t="s">
        <v>369</v>
      </c>
      <c r="C168" t="s">
        <v>32</v>
      </c>
      <c r="D168" s="1">
        <v>44979</v>
      </c>
      <c r="E168">
        <v>768</v>
      </c>
      <c r="F168" t="s">
        <v>28</v>
      </c>
      <c r="G168">
        <v>2969</v>
      </c>
      <c r="H168">
        <v>1893</v>
      </c>
      <c r="I168">
        <v>185</v>
      </c>
      <c r="J168">
        <v>280</v>
      </c>
      <c r="K168">
        <v>831320</v>
      </c>
      <c r="L168">
        <v>160324</v>
      </c>
      <c r="M168">
        <v>670996</v>
      </c>
      <c r="N168">
        <f t="shared" si="12"/>
        <v>530040</v>
      </c>
      <c r="O168">
        <f t="shared" si="13"/>
        <v>140956</v>
      </c>
      <c r="P168">
        <f t="shared" si="14"/>
        <v>0.21006980667544964</v>
      </c>
      <c r="Q168">
        <v>19</v>
      </c>
      <c r="R168">
        <v>50768</v>
      </c>
      <c r="S168">
        <f t="shared" si="15"/>
        <v>0.10270270270270271</v>
      </c>
      <c r="T168">
        <v>83</v>
      </c>
      <c r="U168">
        <v>4.0199999999999996</v>
      </c>
      <c r="V168">
        <v>351635</v>
      </c>
      <c r="W168">
        <v>1287635</v>
      </c>
      <c r="X168">
        <f t="shared" si="16"/>
        <v>3.661851067157706</v>
      </c>
      <c r="Y168" t="str">
        <f t="shared" si="17"/>
        <v>Weak Product</v>
      </c>
    </row>
    <row r="169" spans="1:25" x14ac:dyDescent="0.3">
      <c r="A169" t="s">
        <v>370</v>
      </c>
      <c r="B169" t="s">
        <v>371</v>
      </c>
      <c r="C169" t="s">
        <v>32</v>
      </c>
      <c r="D169" s="1">
        <v>45220</v>
      </c>
      <c r="E169">
        <v>527</v>
      </c>
      <c r="F169" t="s">
        <v>28</v>
      </c>
      <c r="G169">
        <v>3075</v>
      </c>
      <c r="H169">
        <v>2339</v>
      </c>
      <c r="I169">
        <v>98</v>
      </c>
      <c r="J169">
        <v>145</v>
      </c>
      <c r="K169">
        <v>445875</v>
      </c>
      <c r="L169">
        <v>86128</v>
      </c>
      <c r="M169">
        <v>359747</v>
      </c>
      <c r="N169">
        <f t="shared" si="12"/>
        <v>339155</v>
      </c>
      <c r="O169">
        <f t="shared" si="13"/>
        <v>20592</v>
      </c>
      <c r="P169">
        <f t="shared" si="14"/>
        <v>5.7240227159642748E-2</v>
      </c>
      <c r="Q169">
        <v>8</v>
      </c>
      <c r="R169">
        <v>22136</v>
      </c>
      <c r="S169">
        <f t="shared" si="15"/>
        <v>8.1632653061224483E-2</v>
      </c>
      <c r="T169">
        <v>39</v>
      </c>
      <c r="U169">
        <v>3.54</v>
      </c>
      <c r="V169">
        <v>246620</v>
      </c>
      <c r="W169">
        <v>562143</v>
      </c>
      <c r="X169">
        <f t="shared" si="16"/>
        <v>2.2793893439299326</v>
      </c>
      <c r="Y169" t="str">
        <f t="shared" si="17"/>
        <v>Weak Product</v>
      </c>
    </row>
    <row r="170" spans="1:25" x14ac:dyDescent="0.3">
      <c r="A170" t="s">
        <v>372</v>
      </c>
      <c r="B170" t="s">
        <v>373</v>
      </c>
      <c r="C170" t="s">
        <v>32</v>
      </c>
      <c r="D170" s="1">
        <v>45268</v>
      </c>
      <c r="E170">
        <v>479</v>
      </c>
      <c r="F170" t="s">
        <v>28</v>
      </c>
      <c r="G170">
        <v>3361</v>
      </c>
      <c r="H170">
        <v>2047</v>
      </c>
      <c r="I170">
        <v>64</v>
      </c>
      <c r="J170">
        <v>99</v>
      </c>
      <c r="K170">
        <v>332739</v>
      </c>
      <c r="L170">
        <v>50911</v>
      </c>
      <c r="M170">
        <v>281828</v>
      </c>
      <c r="N170">
        <f t="shared" si="12"/>
        <v>202653</v>
      </c>
      <c r="O170">
        <f t="shared" si="13"/>
        <v>79175</v>
      </c>
      <c r="P170">
        <f t="shared" si="14"/>
        <v>0.28093376101735812</v>
      </c>
      <c r="Q170">
        <v>1</v>
      </c>
      <c r="R170">
        <v>3024</v>
      </c>
      <c r="S170">
        <f t="shared" si="15"/>
        <v>1.5625E-2</v>
      </c>
      <c r="T170">
        <v>21</v>
      </c>
      <c r="U170">
        <v>3.86</v>
      </c>
      <c r="V170">
        <v>131114</v>
      </c>
      <c r="W170">
        <v>443246</v>
      </c>
      <c r="X170">
        <f t="shared" si="16"/>
        <v>3.3806153423738121</v>
      </c>
      <c r="Y170" t="str">
        <f t="shared" si="17"/>
        <v>Weak Product</v>
      </c>
    </row>
    <row r="171" spans="1:25" x14ac:dyDescent="0.3">
      <c r="A171" t="s">
        <v>374</v>
      </c>
      <c r="B171" t="s">
        <v>375</v>
      </c>
      <c r="C171" t="s">
        <v>32</v>
      </c>
      <c r="D171" s="1">
        <v>44975</v>
      </c>
      <c r="E171">
        <v>772</v>
      </c>
      <c r="F171" t="s">
        <v>28</v>
      </c>
      <c r="G171">
        <v>6590</v>
      </c>
      <c r="H171">
        <v>5259</v>
      </c>
      <c r="I171">
        <v>133</v>
      </c>
      <c r="J171">
        <v>205</v>
      </c>
      <c r="K171">
        <v>1350950</v>
      </c>
      <c r="L171">
        <v>263064</v>
      </c>
      <c r="M171">
        <v>1087886</v>
      </c>
      <c r="N171">
        <f t="shared" si="12"/>
        <v>1078095</v>
      </c>
      <c r="O171">
        <f t="shared" si="13"/>
        <v>9791</v>
      </c>
      <c r="P171">
        <f t="shared" si="14"/>
        <v>9.000023899563005E-3</v>
      </c>
      <c r="Q171">
        <v>17</v>
      </c>
      <c r="R171">
        <v>100827</v>
      </c>
      <c r="S171">
        <f t="shared" si="15"/>
        <v>0.12781954887218044</v>
      </c>
      <c r="T171">
        <v>50</v>
      </c>
      <c r="U171">
        <v>3.32</v>
      </c>
      <c r="V171">
        <v>389917</v>
      </c>
      <c r="W171">
        <v>3172919</v>
      </c>
      <c r="X171">
        <f t="shared" si="16"/>
        <v>8.1374215538178643</v>
      </c>
      <c r="Y171" t="str">
        <f t="shared" si="17"/>
        <v>Weak Product</v>
      </c>
    </row>
    <row r="172" spans="1:25" x14ac:dyDescent="0.3">
      <c r="A172" t="s">
        <v>376</v>
      </c>
      <c r="B172" t="s">
        <v>377</v>
      </c>
      <c r="C172" t="s">
        <v>32</v>
      </c>
      <c r="D172" s="1">
        <v>45619</v>
      </c>
      <c r="E172">
        <v>128</v>
      </c>
      <c r="F172" t="s">
        <v>28</v>
      </c>
      <c r="G172">
        <v>1535</v>
      </c>
      <c r="H172">
        <v>924</v>
      </c>
      <c r="I172">
        <v>252</v>
      </c>
      <c r="J172">
        <v>390</v>
      </c>
      <c r="K172">
        <v>598650</v>
      </c>
      <c r="L172">
        <v>69086</v>
      </c>
      <c r="M172">
        <v>529564</v>
      </c>
      <c r="N172">
        <f t="shared" si="12"/>
        <v>360360</v>
      </c>
      <c r="O172">
        <f t="shared" si="13"/>
        <v>169204</v>
      </c>
      <c r="P172">
        <f t="shared" si="14"/>
        <v>0.31951567704753342</v>
      </c>
      <c r="Q172">
        <v>21</v>
      </c>
      <c r="R172">
        <v>29001</v>
      </c>
      <c r="S172">
        <f t="shared" si="15"/>
        <v>8.3333333333333329E-2</v>
      </c>
      <c r="T172">
        <v>99</v>
      </c>
      <c r="U172">
        <v>4.08</v>
      </c>
      <c r="V172">
        <v>513779</v>
      </c>
      <c r="W172">
        <v>1135600</v>
      </c>
      <c r="X172">
        <f t="shared" si="16"/>
        <v>2.2102888596069517</v>
      </c>
      <c r="Y172" t="str">
        <f t="shared" si="17"/>
        <v>Weak Product</v>
      </c>
    </row>
    <row r="173" spans="1:25" x14ac:dyDescent="0.3">
      <c r="A173" t="s">
        <v>378</v>
      </c>
      <c r="B173" t="s">
        <v>379</v>
      </c>
      <c r="C173" t="s">
        <v>32</v>
      </c>
      <c r="D173" s="1">
        <v>44879</v>
      </c>
      <c r="E173">
        <v>868</v>
      </c>
      <c r="F173" t="s">
        <v>28</v>
      </c>
      <c r="G173">
        <v>5723</v>
      </c>
      <c r="H173">
        <v>3293</v>
      </c>
      <c r="I173">
        <v>68</v>
      </c>
      <c r="J173">
        <v>101</v>
      </c>
      <c r="K173">
        <v>578023</v>
      </c>
      <c r="L173">
        <v>115751</v>
      </c>
      <c r="M173">
        <v>462272</v>
      </c>
      <c r="N173">
        <f t="shared" si="12"/>
        <v>332593</v>
      </c>
      <c r="O173">
        <f t="shared" si="13"/>
        <v>129679</v>
      </c>
      <c r="P173">
        <f t="shared" si="14"/>
        <v>0.28052531842724632</v>
      </c>
      <c r="Q173">
        <v>7</v>
      </c>
      <c r="R173">
        <v>36050</v>
      </c>
      <c r="S173">
        <f t="shared" si="15"/>
        <v>0.10294117647058823</v>
      </c>
      <c r="T173">
        <v>29</v>
      </c>
      <c r="U173">
        <v>4.17</v>
      </c>
      <c r="V173">
        <v>588239</v>
      </c>
      <c r="W173">
        <v>3511475</v>
      </c>
      <c r="X173">
        <f t="shared" si="16"/>
        <v>5.9694698923396778</v>
      </c>
      <c r="Y173" t="str">
        <f t="shared" si="17"/>
        <v>Weak Product</v>
      </c>
    </row>
    <row r="174" spans="1:25" x14ac:dyDescent="0.3">
      <c r="A174" t="s">
        <v>380</v>
      </c>
      <c r="B174" t="s">
        <v>381</v>
      </c>
      <c r="C174" t="s">
        <v>32</v>
      </c>
      <c r="D174" s="1">
        <v>45151</v>
      </c>
      <c r="E174">
        <v>596</v>
      </c>
      <c r="F174" t="s">
        <v>28</v>
      </c>
      <c r="G174">
        <v>7966</v>
      </c>
      <c r="H174">
        <v>5255</v>
      </c>
      <c r="I174">
        <v>73</v>
      </c>
      <c r="J174">
        <v>105</v>
      </c>
      <c r="K174">
        <v>836430</v>
      </c>
      <c r="L174">
        <v>111913</v>
      </c>
      <c r="M174">
        <v>724517</v>
      </c>
      <c r="N174">
        <f t="shared" si="12"/>
        <v>551775</v>
      </c>
      <c r="O174">
        <f t="shared" si="13"/>
        <v>172742</v>
      </c>
      <c r="P174">
        <f t="shared" si="14"/>
        <v>0.23842366707751508</v>
      </c>
      <c r="Q174">
        <v>11</v>
      </c>
      <c r="R174">
        <v>78859</v>
      </c>
      <c r="S174">
        <f t="shared" si="15"/>
        <v>0.15068493150684931</v>
      </c>
      <c r="T174">
        <v>26</v>
      </c>
      <c r="U174">
        <v>3.62</v>
      </c>
      <c r="V174">
        <v>495723</v>
      </c>
      <c r="W174">
        <v>4670899</v>
      </c>
      <c r="X174">
        <f t="shared" si="16"/>
        <v>9.4223971855249804</v>
      </c>
      <c r="Y174" t="str">
        <f t="shared" si="17"/>
        <v>Weak Product</v>
      </c>
    </row>
    <row r="175" spans="1:25" x14ac:dyDescent="0.3">
      <c r="A175" t="s">
        <v>382</v>
      </c>
      <c r="B175" t="s">
        <v>383</v>
      </c>
      <c r="C175" t="s">
        <v>32</v>
      </c>
      <c r="D175" s="1">
        <v>45123</v>
      </c>
      <c r="E175">
        <v>624</v>
      </c>
      <c r="F175" t="s">
        <v>28</v>
      </c>
      <c r="G175">
        <v>14736</v>
      </c>
      <c r="H175">
        <v>10200</v>
      </c>
      <c r="I175">
        <v>68</v>
      </c>
      <c r="J175">
        <v>104</v>
      </c>
      <c r="K175">
        <v>1532544</v>
      </c>
      <c r="L175">
        <v>143484</v>
      </c>
      <c r="M175">
        <v>1389060</v>
      </c>
      <c r="N175">
        <f t="shared" si="12"/>
        <v>1060800</v>
      </c>
      <c r="O175">
        <f t="shared" si="13"/>
        <v>328260</v>
      </c>
      <c r="P175">
        <f t="shared" si="14"/>
        <v>0.23631808561185261</v>
      </c>
      <c r="Q175">
        <v>5</v>
      </c>
      <c r="R175">
        <v>66310</v>
      </c>
      <c r="S175">
        <f t="shared" si="15"/>
        <v>7.3529411764705885E-2</v>
      </c>
      <c r="T175">
        <v>24</v>
      </c>
      <c r="U175">
        <v>4</v>
      </c>
      <c r="V175">
        <v>516423</v>
      </c>
      <c r="W175">
        <v>11116757</v>
      </c>
      <c r="X175">
        <f t="shared" si="16"/>
        <v>21.52645602539004</v>
      </c>
      <c r="Y175" t="str">
        <f t="shared" si="17"/>
        <v>Weak Product</v>
      </c>
    </row>
    <row r="176" spans="1:25" x14ac:dyDescent="0.3">
      <c r="A176" t="s">
        <v>384</v>
      </c>
      <c r="B176" t="s">
        <v>385</v>
      </c>
      <c r="C176" t="s">
        <v>32</v>
      </c>
      <c r="D176" s="1">
        <v>44888</v>
      </c>
      <c r="E176">
        <v>859</v>
      </c>
      <c r="F176" t="s">
        <v>28</v>
      </c>
      <c r="G176">
        <v>4834</v>
      </c>
      <c r="H176">
        <v>2451</v>
      </c>
      <c r="I176">
        <v>59</v>
      </c>
      <c r="J176">
        <v>86</v>
      </c>
      <c r="K176">
        <v>415724</v>
      </c>
      <c r="L176">
        <v>42422</v>
      </c>
      <c r="M176">
        <v>373302</v>
      </c>
      <c r="N176">
        <f t="shared" si="12"/>
        <v>210786</v>
      </c>
      <c r="O176">
        <f t="shared" si="13"/>
        <v>162516</v>
      </c>
      <c r="P176">
        <f t="shared" si="14"/>
        <v>0.4353472523586801</v>
      </c>
      <c r="Q176">
        <v>2</v>
      </c>
      <c r="R176">
        <v>8700</v>
      </c>
      <c r="S176">
        <f t="shared" si="15"/>
        <v>3.3898305084745763E-2</v>
      </c>
      <c r="T176">
        <v>20</v>
      </c>
      <c r="U176">
        <v>4.58</v>
      </c>
      <c r="V176">
        <v>444979</v>
      </c>
      <c r="W176">
        <v>2255547</v>
      </c>
      <c r="X176">
        <f t="shared" si="16"/>
        <v>5.0688841495890813</v>
      </c>
      <c r="Y176" t="str">
        <f t="shared" si="17"/>
        <v>Star</v>
      </c>
    </row>
    <row r="177" spans="1:25" x14ac:dyDescent="0.3">
      <c r="A177" t="s">
        <v>386</v>
      </c>
      <c r="B177" t="s">
        <v>387</v>
      </c>
      <c r="C177" t="s">
        <v>32</v>
      </c>
      <c r="D177" s="1">
        <v>45616</v>
      </c>
      <c r="E177">
        <v>131</v>
      </c>
      <c r="F177" t="s">
        <v>28</v>
      </c>
      <c r="G177">
        <v>4384</v>
      </c>
      <c r="H177">
        <v>3383</v>
      </c>
      <c r="I177">
        <v>176</v>
      </c>
      <c r="J177">
        <v>266</v>
      </c>
      <c r="K177">
        <v>1166144</v>
      </c>
      <c r="L177">
        <v>178297</v>
      </c>
      <c r="M177">
        <v>987847</v>
      </c>
      <c r="N177">
        <f t="shared" si="12"/>
        <v>899878</v>
      </c>
      <c r="O177">
        <f t="shared" si="13"/>
        <v>87969</v>
      </c>
      <c r="P177">
        <f t="shared" si="14"/>
        <v>8.9051239716271852E-2</v>
      </c>
      <c r="Q177">
        <v>4</v>
      </c>
      <c r="R177">
        <v>15780</v>
      </c>
      <c r="S177">
        <f t="shared" si="15"/>
        <v>2.2727272727272728E-2</v>
      </c>
      <c r="T177">
        <v>78</v>
      </c>
      <c r="U177">
        <v>3.42</v>
      </c>
      <c r="V177">
        <v>454138</v>
      </c>
      <c r="W177">
        <v>2769687</v>
      </c>
      <c r="X177">
        <f t="shared" si="16"/>
        <v>6.0987783449083759</v>
      </c>
      <c r="Y177" t="str">
        <f t="shared" si="17"/>
        <v>Weak Product</v>
      </c>
    </row>
    <row r="178" spans="1:25" x14ac:dyDescent="0.3">
      <c r="A178" t="s">
        <v>388</v>
      </c>
      <c r="B178" t="s">
        <v>389</v>
      </c>
      <c r="C178" t="s">
        <v>32</v>
      </c>
      <c r="D178" s="1">
        <v>44862</v>
      </c>
      <c r="E178">
        <v>885</v>
      </c>
      <c r="F178" t="s">
        <v>28</v>
      </c>
      <c r="G178">
        <v>15081</v>
      </c>
      <c r="H178">
        <v>7569</v>
      </c>
      <c r="I178">
        <v>94</v>
      </c>
      <c r="J178">
        <v>145</v>
      </c>
      <c r="K178">
        <v>2186745</v>
      </c>
      <c r="L178">
        <v>315179</v>
      </c>
      <c r="M178">
        <v>1871566</v>
      </c>
      <c r="N178">
        <f t="shared" si="12"/>
        <v>1097505</v>
      </c>
      <c r="O178">
        <f t="shared" si="13"/>
        <v>774061</v>
      </c>
      <c r="P178">
        <f t="shared" si="14"/>
        <v>0.41359000964967307</v>
      </c>
      <c r="Q178">
        <v>8</v>
      </c>
      <c r="R178">
        <v>108576</v>
      </c>
      <c r="S178">
        <f t="shared" si="15"/>
        <v>8.5106382978723402E-2</v>
      </c>
      <c r="T178">
        <v>30</v>
      </c>
      <c r="U178">
        <v>4.47</v>
      </c>
      <c r="V178">
        <v>164234</v>
      </c>
      <c r="W178">
        <v>4860527</v>
      </c>
      <c r="X178">
        <f t="shared" si="16"/>
        <v>29.595132554769414</v>
      </c>
      <c r="Y178" t="str">
        <f t="shared" si="17"/>
        <v>Weak Product</v>
      </c>
    </row>
    <row r="179" spans="1:25" x14ac:dyDescent="0.3">
      <c r="A179" t="s">
        <v>390</v>
      </c>
      <c r="B179" t="s">
        <v>391</v>
      </c>
      <c r="C179" t="s">
        <v>32</v>
      </c>
      <c r="D179" s="1">
        <v>44936</v>
      </c>
      <c r="E179">
        <v>811</v>
      </c>
      <c r="F179" t="s">
        <v>28</v>
      </c>
      <c r="G179">
        <v>7656</v>
      </c>
      <c r="H179">
        <v>6793</v>
      </c>
      <c r="I179">
        <v>114</v>
      </c>
      <c r="J179">
        <v>174</v>
      </c>
      <c r="K179">
        <v>1332144</v>
      </c>
      <c r="L179">
        <v>231998</v>
      </c>
      <c r="M179">
        <v>1100146</v>
      </c>
      <c r="N179">
        <f t="shared" si="12"/>
        <v>1181982</v>
      </c>
      <c r="O179">
        <f t="shared" si="13"/>
        <v>-81836</v>
      </c>
      <c r="P179">
        <f t="shared" si="14"/>
        <v>-7.4386490520349111E-2</v>
      </c>
      <c r="Q179">
        <v>16</v>
      </c>
      <c r="R179">
        <v>110240</v>
      </c>
      <c r="S179">
        <f t="shared" si="15"/>
        <v>0.14035087719298245</v>
      </c>
      <c r="T179">
        <v>44</v>
      </c>
      <c r="U179">
        <v>2.99</v>
      </c>
      <c r="V179">
        <v>171728</v>
      </c>
      <c r="W179">
        <v>1566199</v>
      </c>
      <c r="X179">
        <f t="shared" si="16"/>
        <v>9.120230830150005</v>
      </c>
      <c r="Y179" t="str">
        <f t="shared" si="17"/>
        <v>Weak Product</v>
      </c>
    </row>
    <row r="180" spans="1:25" x14ac:dyDescent="0.3">
      <c r="A180" t="s">
        <v>392</v>
      </c>
      <c r="B180" t="s">
        <v>393</v>
      </c>
      <c r="C180" t="s">
        <v>32</v>
      </c>
      <c r="D180" s="1">
        <v>45315</v>
      </c>
      <c r="E180">
        <v>432</v>
      </c>
      <c r="F180" t="s">
        <v>28</v>
      </c>
      <c r="G180">
        <v>4846</v>
      </c>
      <c r="H180">
        <v>2706</v>
      </c>
      <c r="I180">
        <v>96</v>
      </c>
      <c r="J180">
        <v>155</v>
      </c>
      <c r="K180">
        <v>751130</v>
      </c>
      <c r="L180">
        <v>94841</v>
      </c>
      <c r="M180">
        <v>656289</v>
      </c>
      <c r="N180">
        <f t="shared" si="12"/>
        <v>419430</v>
      </c>
      <c r="O180">
        <f t="shared" si="13"/>
        <v>236859</v>
      </c>
      <c r="P180">
        <f t="shared" si="14"/>
        <v>0.360906551839205</v>
      </c>
      <c r="Q180">
        <v>6</v>
      </c>
      <c r="R180">
        <v>26166</v>
      </c>
      <c r="S180">
        <f t="shared" si="15"/>
        <v>6.25E-2</v>
      </c>
      <c r="T180">
        <v>32</v>
      </c>
      <c r="U180">
        <v>4.08</v>
      </c>
      <c r="V180">
        <v>389856</v>
      </c>
      <c r="W180">
        <v>2385154</v>
      </c>
      <c r="X180">
        <f t="shared" si="16"/>
        <v>6.1180384552244931</v>
      </c>
      <c r="Y180" t="str">
        <f t="shared" si="17"/>
        <v>Weak Product</v>
      </c>
    </row>
    <row r="181" spans="1:25" x14ac:dyDescent="0.3">
      <c r="A181" t="s">
        <v>394</v>
      </c>
      <c r="B181" t="s">
        <v>395</v>
      </c>
      <c r="C181" t="s">
        <v>32</v>
      </c>
      <c r="D181" s="1">
        <v>45629</v>
      </c>
      <c r="E181">
        <v>118</v>
      </c>
      <c r="F181" t="s">
        <v>28</v>
      </c>
      <c r="G181">
        <v>17593</v>
      </c>
      <c r="H181">
        <v>12482</v>
      </c>
      <c r="I181">
        <v>47</v>
      </c>
      <c r="J181">
        <v>71</v>
      </c>
      <c r="K181">
        <v>1249103</v>
      </c>
      <c r="L181">
        <v>182053</v>
      </c>
      <c r="M181">
        <v>1067050</v>
      </c>
      <c r="N181">
        <f t="shared" si="12"/>
        <v>886222</v>
      </c>
      <c r="O181">
        <f t="shared" si="13"/>
        <v>180828</v>
      </c>
      <c r="P181">
        <f t="shared" si="14"/>
        <v>0.16946534839042218</v>
      </c>
      <c r="Q181">
        <v>6</v>
      </c>
      <c r="R181">
        <v>94998</v>
      </c>
      <c r="S181">
        <f t="shared" si="15"/>
        <v>0.1276595744680851</v>
      </c>
      <c r="T181">
        <v>23</v>
      </c>
      <c r="U181">
        <v>3.67</v>
      </c>
      <c r="V181">
        <v>110581</v>
      </c>
      <c r="W181">
        <v>4453045</v>
      </c>
      <c r="X181">
        <f t="shared" si="16"/>
        <v>40.26953093207694</v>
      </c>
      <c r="Y181" t="str">
        <f t="shared" si="17"/>
        <v>Weak Product</v>
      </c>
    </row>
    <row r="182" spans="1:25" x14ac:dyDescent="0.3">
      <c r="A182" t="s">
        <v>396</v>
      </c>
      <c r="B182" t="s">
        <v>397</v>
      </c>
      <c r="C182" t="s">
        <v>32</v>
      </c>
      <c r="D182" s="1">
        <v>45346</v>
      </c>
      <c r="E182">
        <v>401</v>
      </c>
      <c r="F182" t="s">
        <v>28</v>
      </c>
      <c r="G182">
        <v>2357</v>
      </c>
      <c r="H182">
        <v>2003</v>
      </c>
      <c r="I182">
        <v>94</v>
      </c>
      <c r="J182">
        <v>142</v>
      </c>
      <c r="K182">
        <v>334694</v>
      </c>
      <c r="L182">
        <v>60292</v>
      </c>
      <c r="M182">
        <v>274402</v>
      </c>
      <c r="N182">
        <f t="shared" si="12"/>
        <v>284426</v>
      </c>
      <c r="O182">
        <f t="shared" si="13"/>
        <v>-10024</v>
      </c>
      <c r="P182">
        <f t="shared" si="14"/>
        <v>-3.6530345988731859E-2</v>
      </c>
      <c r="Q182">
        <v>13</v>
      </c>
      <c r="R182">
        <v>27573</v>
      </c>
      <c r="S182">
        <f t="shared" si="15"/>
        <v>0.13829787234042554</v>
      </c>
      <c r="T182">
        <v>40</v>
      </c>
      <c r="U182">
        <v>3.18</v>
      </c>
      <c r="V182">
        <v>278613</v>
      </c>
      <c r="W182">
        <v>919310</v>
      </c>
      <c r="X182">
        <f t="shared" si="16"/>
        <v>3.299594778420246</v>
      </c>
      <c r="Y182" t="str">
        <f t="shared" si="17"/>
        <v>Weak Product</v>
      </c>
    </row>
    <row r="183" spans="1:25" x14ac:dyDescent="0.3">
      <c r="A183" t="s">
        <v>398</v>
      </c>
      <c r="B183" t="s">
        <v>399</v>
      </c>
      <c r="C183" t="s">
        <v>32</v>
      </c>
      <c r="D183" s="1">
        <v>45196</v>
      </c>
      <c r="E183">
        <v>551</v>
      </c>
      <c r="F183" t="s">
        <v>28</v>
      </c>
      <c r="G183">
        <v>14364</v>
      </c>
      <c r="H183">
        <v>12917</v>
      </c>
      <c r="I183">
        <v>84</v>
      </c>
      <c r="J183">
        <v>127</v>
      </c>
      <c r="K183">
        <v>1824228</v>
      </c>
      <c r="L183">
        <v>214345</v>
      </c>
      <c r="M183">
        <v>1609883</v>
      </c>
      <c r="N183">
        <f t="shared" si="12"/>
        <v>1640459</v>
      </c>
      <c r="O183">
        <f t="shared" si="13"/>
        <v>-30576</v>
      </c>
      <c r="P183">
        <f t="shared" si="14"/>
        <v>-1.8992684561548883E-2</v>
      </c>
      <c r="Q183">
        <v>9</v>
      </c>
      <c r="R183">
        <v>116343</v>
      </c>
      <c r="S183">
        <f t="shared" si="15"/>
        <v>0.10714285714285714</v>
      </c>
      <c r="T183">
        <v>41</v>
      </c>
      <c r="U183">
        <v>2.88</v>
      </c>
      <c r="V183">
        <v>155717</v>
      </c>
      <c r="W183">
        <v>2791122</v>
      </c>
      <c r="X183">
        <f t="shared" si="16"/>
        <v>17.924324254898309</v>
      </c>
      <c r="Y183" t="str">
        <f t="shared" si="17"/>
        <v>Weak Product</v>
      </c>
    </row>
    <row r="184" spans="1:25" x14ac:dyDescent="0.3">
      <c r="A184" t="s">
        <v>400</v>
      </c>
      <c r="B184" t="s">
        <v>401</v>
      </c>
      <c r="C184" t="s">
        <v>32</v>
      </c>
      <c r="D184" s="1">
        <v>45392</v>
      </c>
      <c r="E184">
        <v>355</v>
      </c>
      <c r="F184" t="s">
        <v>28</v>
      </c>
      <c r="G184">
        <v>2516</v>
      </c>
      <c r="H184">
        <v>1184</v>
      </c>
      <c r="I184">
        <v>153</v>
      </c>
      <c r="J184">
        <v>228</v>
      </c>
      <c r="K184">
        <v>573648</v>
      </c>
      <c r="L184">
        <v>47855</v>
      </c>
      <c r="M184">
        <v>525793</v>
      </c>
      <c r="N184">
        <f t="shared" si="12"/>
        <v>269952</v>
      </c>
      <c r="O184">
        <f t="shared" si="13"/>
        <v>255841</v>
      </c>
      <c r="P184">
        <f t="shared" si="14"/>
        <v>0.48658122112694541</v>
      </c>
      <c r="Q184">
        <v>6</v>
      </c>
      <c r="R184">
        <v>13584</v>
      </c>
      <c r="S184">
        <f t="shared" si="15"/>
        <v>3.9215686274509803E-2</v>
      </c>
      <c r="T184">
        <v>64</v>
      </c>
      <c r="U184">
        <v>4.41</v>
      </c>
      <c r="V184">
        <v>528018</v>
      </c>
      <c r="W184">
        <v>1461632</v>
      </c>
      <c r="X184">
        <f t="shared" si="16"/>
        <v>2.7681480555587119</v>
      </c>
      <c r="Y184" t="str">
        <f t="shared" si="17"/>
        <v>Star</v>
      </c>
    </row>
    <row r="185" spans="1:25" x14ac:dyDescent="0.3">
      <c r="A185" t="s">
        <v>402</v>
      </c>
      <c r="B185" t="s">
        <v>403</v>
      </c>
      <c r="C185" t="s">
        <v>32</v>
      </c>
      <c r="D185" s="1">
        <v>45094</v>
      </c>
      <c r="E185">
        <v>653</v>
      </c>
      <c r="F185" t="s">
        <v>28</v>
      </c>
      <c r="G185">
        <v>12976</v>
      </c>
      <c r="H185">
        <v>5949</v>
      </c>
      <c r="I185">
        <v>62</v>
      </c>
      <c r="J185">
        <v>99</v>
      </c>
      <c r="K185">
        <v>1284624</v>
      </c>
      <c r="L185">
        <v>211777</v>
      </c>
      <c r="M185">
        <v>1072847</v>
      </c>
      <c r="N185">
        <f t="shared" si="12"/>
        <v>588951</v>
      </c>
      <c r="O185">
        <f t="shared" si="13"/>
        <v>483896</v>
      </c>
      <c r="P185">
        <f t="shared" si="14"/>
        <v>0.45103915096933672</v>
      </c>
      <c r="Q185">
        <v>7</v>
      </c>
      <c r="R185">
        <v>81746</v>
      </c>
      <c r="S185">
        <f t="shared" si="15"/>
        <v>0.11290322580645161</v>
      </c>
      <c r="T185">
        <v>24</v>
      </c>
      <c r="U185">
        <v>4.4400000000000004</v>
      </c>
      <c r="V185">
        <v>416257</v>
      </c>
      <c r="W185">
        <v>5788293</v>
      </c>
      <c r="X185">
        <f t="shared" si="16"/>
        <v>13.905575161498785</v>
      </c>
      <c r="Y185" t="str">
        <f t="shared" si="17"/>
        <v>Weak Product</v>
      </c>
    </row>
    <row r="186" spans="1:25" x14ac:dyDescent="0.3">
      <c r="A186" t="s">
        <v>404</v>
      </c>
      <c r="B186" t="s">
        <v>405</v>
      </c>
      <c r="C186" t="s">
        <v>32</v>
      </c>
      <c r="D186" s="1">
        <v>45175</v>
      </c>
      <c r="E186">
        <v>572</v>
      </c>
      <c r="F186" t="s">
        <v>28</v>
      </c>
      <c r="G186">
        <v>19366</v>
      </c>
      <c r="H186">
        <v>11022</v>
      </c>
      <c r="I186">
        <v>55</v>
      </c>
      <c r="J186">
        <v>82</v>
      </c>
      <c r="K186">
        <v>1588012</v>
      </c>
      <c r="L186">
        <v>142548</v>
      </c>
      <c r="M186">
        <v>1445464</v>
      </c>
      <c r="N186">
        <f t="shared" si="12"/>
        <v>903804</v>
      </c>
      <c r="O186">
        <f t="shared" si="13"/>
        <v>541660</v>
      </c>
      <c r="P186">
        <f t="shared" si="14"/>
        <v>0.37473088226341161</v>
      </c>
      <c r="Q186">
        <v>7</v>
      </c>
      <c r="R186">
        <v>122003</v>
      </c>
      <c r="S186">
        <f t="shared" si="15"/>
        <v>0.12727272727272726</v>
      </c>
      <c r="T186">
        <v>22</v>
      </c>
      <c r="U186">
        <v>4.18</v>
      </c>
      <c r="V186">
        <v>96009</v>
      </c>
      <c r="W186">
        <v>2640907</v>
      </c>
      <c r="X186">
        <f t="shared" si="16"/>
        <v>27.506869147684071</v>
      </c>
      <c r="Y186" t="str">
        <f t="shared" si="17"/>
        <v>Hidden Opportunity</v>
      </c>
    </row>
    <row r="187" spans="1:25" x14ac:dyDescent="0.3">
      <c r="A187" t="s">
        <v>406</v>
      </c>
      <c r="B187" t="s">
        <v>407</v>
      </c>
      <c r="C187" t="s">
        <v>32</v>
      </c>
      <c r="D187" s="1">
        <v>44973</v>
      </c>
      <c r="E187">
        <v>774</v>
      </c>
      <c r="F187" t="s">
        <v>28</v>
      </c>
      <c r="G187">
        <v>15979</v>
      </c>
      <c r="H187">
        <v>9838</v>
      </c>
      <c r="I187">
        <v>83</v>
      </c>
      <c r="J187">
        <v>127</v>
      </c>
      <c r="K187">
        <v>2029333</v>
      </c>
      <c r="L187">
        <v>264758</v>
      </c>
      <c r="M187">
        <v>1764575</v>
      </c>
      <c r="N187">
        <f t="shared" si="12"/>
        <v>1249426</v>
      </c>
      <c r="O187">
        <f t="shared" si="13"/>
        <v>515149</v>
      </c>
      <c r="P187">
        <f t="shared" si="14"/>
        <v>0.29193941884023067</v>
      </c>
      <c r="Q187">
        <v>6</v>
      </c>
      <c r="R187">
        <v>86286</v>
      </c>
      <c r="S187">
        <f t="shared" si="15"/>
        <v>7.2289156626506021E-2</v>
      </c>
      <c r="T187">
        <v>32</v>
      </c>
      <c r="U187">
        <v>4.17</v>
      </c>
      <c r="V187">
        <v>267097</v>
      </c>
      <c r="W187">
        <v>5711794</v>
      </c>
      <c r="X187">
        <f t="shared" si="16"/>
        <v>21.384717911470364</v>
      </c>
      <c r="Y187" t="str">
        <f t="shared" si="17"/>
        <v>Weak Product</v>
      </c>
    </row>
    <row r="188" spans="1:25" x14ac:dyDescent="0.3">
      <c r="A188" t="s">
        <v>408</v>
      </c>
      <c r="B188" t="s">
        <v>409</v>
      </c>
      <c r="C188" t="s">
        <v>32</v>
      </c>
      <c r="D188" s="1">
        <v>45152</v>
      </c>
      <c r="E188">
        <v>595</v>
      </c>
      <c r="F188" t="s">
        <v>28</v>
      </c>
      <c r="G188">
        <v>1672</v>
      </c>
      <c r="H188">
        <v>1267</v>
      </c>
      <c r="I188">
        <v>268</v>
      </c>
      <c r="J188">
        <v>401</v>
      </c>
      <c r="K188">
        <v>670472</v>
      </c>
      <c r="L188">
        <v>69416</v>
      </c>
      <c r="M188">
        <v>601056</v>
      </c>
      <c r="N188">
        <f t="shared" si="12"/>
        <v>508067</v>
      </c>
      <c r="O188">
        <f t="shared" si="13"/>
        <v>92989</v>
      </c>
      <c r="P188">
        <f t="shared" si="14"/>
        <v>0.15470937816110311</v>
      </c>
      <c r="Q188">
        <v>23</v>
      </c>
      <c r="R188">
        <v>34592</v>
      </c>
      <c r="S188">
        <f t="shared" si="15"/>
        <v>8.5820895522388058E-2</v>
      </c>
      <c r="T188">
        <v>115</v>
      </c>
      <c r="U188">
        <v>3.42</v>
      </c>
      <c r="V188">
        <v>542554</v>
      </c>
      <c r="W188">
        <v>1194439</v>
      </c>
      <c r="X188">
        <f t="shared" si="16"/>
        <v>2.2015117389236831</v>
      </c>
      <c r="Y188" t="str">
        <f t="shared" si="17"/>
        <v>Weak Product</v>
      </c>
    </row>
    <row r="189" spans="1:25" x14ac:dyDescent="0.3">
      <c r="A189" t="s">
        <v>410</v>
      </c>
      <c r="B189" t="s">
        <v>411</v>
      </c>
      <c r="C189" t="s">
        <v>32</v>
      </c>
      <c r="D189" s="1">
        <v>45634</v>
      </c>
      <c r="E189">
        <v>113</v>
      </c>
      <c r="F189" t="s">
        <v>28</v>
      </c>
      <c r="G189">
        <v>9674</v>
      </c>
      <c r="H189">
        <v>7152</v>
      </c>
      <c r="I189">
        <v>68</v>
      </c>
      <c r="J189">
        <v>106</v>
      </c>
      <c r="K189">
        <v>1025444</v>
      </c>
      <c r="L189">
        <v>114672</v>
      </c>
      <c r="M189">
        <v>910772</v>
      </c>
      <c r="N189">
        <f t="shared" si="12"/>
        <v>758112</v>
      </c>
      <c r="O189">
        <f t="shared" si="13"/>
        <v>152660</v>
      </c>
      <c r="P189">
        <f t="shared" si="14"/>
        <v>0.16761604441067579</v>
      </c>
      <c r="Q189">
        <v>4</v>
      </c>
      <c r="R189">
        <v>34824</v>
      </c>
      <c r="S189">
        <f t="shared" si="15"/>
        <v>5.8823529411764705E-2</v>
      </c>
      <c r="T189">
        <v>32</v>
      </c>
      <c r="U189">
        <v>3.78</v>
      </c>
      <c r="V189">
        <v>359776</v>
      </c>
      <c r="W189">
        <v>3756755</v>
      </c>
      <c r="X189">
        <f t="shared" si="16"/>
        <v>10.441927755047585</v>
      </c>
      <c r="Y189" t="str">
        <f t="shared" si="17"/>
        <v>Weak Product</v>
      </c>
    </row>
    <row r="190" spans="1:25" x14ac:dyDescent="0.3">
      <c r="A190" t="s">
        <v>412</v>
      </c>
      <c r="B190" t="s">
        <v>413</v>
      </c>
      <c r="C190" t="s">
        <v>32</v>
      </c>
      <c r="D190" s="1">
        <v>45230</v>
      </c>
      <c r="E190">
        <v>517</v>
      </c>
      <c r="F190" t="s">
        <v>28</v>
      </c>
      <c r="G190">
        <v>14708</v>
      </c>
      <c r="H190">
        <v>7315</v>
      </c>
      <c r="I190">
        <v>84</v>
      </c>
      <c r="J190">
        <v>133</v>
      </c>
      <c r="K190">
        <v>1956164</v>
      </c>
      <c r="L190">
        <v>227308</v>
      </c>
      <c r="M190">
        <v>1728856</v>
      </c>
      <c r="N190">
        <f t="shared" si="12"/>
        <v>972895</v>
      </c>
      <c r="O190">
        <f t="shared" si="13"/>
        <v>755961</v>
      </c>
      <c r="P190">
        <f t="shared" si="14"/>
        <v>0.43726082449897502</v>
      </c>
      <c r="Q190">
        <v>13</v>
      </c>
      <c r="R190">
        <v>172081</v>
      </c>
      <c r="S190">
        <f t="shared" si="15"/>
        <v>0.15476190476190477</v>
      </c>
      <c r="T190">
        <v>32</v>
      </c>
      <c r="U190">
        <v>4.47</v>
      </c>
      <c r="V190">
        <v>359109</v>
      </c>
      <c r="W190">
        <v>4527480</v>
      </c>
      <c r="X190">
        <f t="shared" si="16"/>
        <v>12.607536987377092</v>
      </c>
      <c r="Y190" t="str">
        <f t="shared" si="17"/>
        <v>Weak Product</v>
      </c>
    </row>
    <row r="191" spans="1:25" x14ac:dyDescent="0.3">
      <c r="A191" t="s">
        <v>414</v>
      </c>
      <c r="B191" t="s">
        <v>415</v>
      </c>
      <c r="C191" t="s">
        <v>32</v>
      </c>
      <c r="D191" s="1">
        <v>45579</v>
      </c>
      <c r="E191">
        <v>168</v>
      </c>
      <c r="F191" t="s">
        <v>28</v>
      </c>
      <c r="G191">
        <v>9038</v>
      </c>
      <c r="H191">
        <v>4875</v>
      </c>
      <c r="I191">
        <v>55</v>
      </c>
      <c r="J191">
        <v>80</v>
      </c>
      <c r="K191">
        <v>723040</v>
      </c>
      <c r="L191">
        <v>114731</v>
      </c>
      <c r="M191">
        <v>608309</v>
      </c>
      <c r="N191">
        <f t="shared" si="12"/>
        <v>390000</v>
      </c>
      <c r="O191">
        <f t="shared" si="13"/>
        <v>218309</v>
      </c>
      <c r="P191">
        <f t="shared" si="14"/>
        <v>0.35887846472763019</v>
      </c>
      <c r="Q191">
        <v>1</v>
      </c>
      <c r="R191">
        <v>8134</v>
      </c>
      <c r="S191">
        <f t="shared" si="15"/>
        <v>1.8181818181818181E-2</v>
      </c>
      <c r="T191">
        <v>19</v>
      </c>
      <c r="U191">
        <v>4.24</v>
      </c>
      <c r="V191">
        <v>300148</v>
      </c>
      <c r="W191">
        <v>3809266</v>
      </c>
      <c r="X191">
        <f t="shared" si="16"/>
        <v>12.691292295800737</v>
      </c>
      <c r="Y191" t="str">
        <f t="shared" si="17"/>
        <v>Star</v>
      </c>
    </row>
    <row r="192" spans="1:25" x14ac:dyDescent="0.3">
      <c r="A192" t="s">
        <v>416</v>
      </c>
      <c r="B192" t="s">
        <v>417</v>
      </c>
      <c r="C192" t="s">
        <v>32</v>
      </c>
      <c r="D192" s="1">
        <v>45511</v>
      </c>
      <c r="E192">
        <v>236</v>
      </c>
      <c r="F192" t="s">
        <v>28</v>
      </c>
      <c r="G192">
        <v>3660</v>
      </c>
      <c r="H192">
        <v>3162</v>
      </c>
      <c r="I192">
        <v>144</v>
      </c>
      <c r="J192">
        <v>222</v>
      </c>
      <c r="K192">
        <v>812520</v>
      </c>
      <c r="L192">
        <v>152477</v>
      </c>
      <c r="M192">
        <v>660043</v>
      </c>
      <c r="N192">
        <f t="shared" si="12"/>
        <v>701964</v>
      </c>
      <c r="O192">
        <f t="shared" si="13"/>
        <v>-41921</v>
      </c>
      <c r="P192">
        <f t="shared" si="14"/>
        <v>-6.3512528729188861E-2</v>
      </c>
      <c r="Q192">
        <v>2</v>
      </c>
      <c r="R192">
        <v>6588</v>
      </c>
      <c r="S192">
        <f t="shared" si="15"/>
        <v>1.3888888888888888E-2</v>
      </c>
      <c r="T192">
        <v>55</v>
      </c>
      <c r="U192">
        <v>3.03</v>
      </c>
      <c r="V192">
        <v>234959</v>
      </c>
      <c r="W192">
        <v>1198071</v>
      </c>
      <c r="X192">
        <f t="shared" si="16"/>
        <v>5.0990640920330783</v>
      </c>
      <c r="Y192" t="str">
        <f t="shared" si="17"/>
        <v>Weak Product</v>
      </c>
    </row>
    <row r="193" spans="1:25" x14ac:dyDescent="0.3">
      <c r="A193" t="s">
        <v>418</v>
      </c>
      <c r="B193" t="s">
        <v>419</v>
      </c>
      <c r="C193" t="s">
        <v>32</v>
      </c>
      <c r="D193" s="1">
        <v>45196</v>
      </c>
      <c r="E193">
        <v>551</v>
      </c>
      <c r="F193" t="s">
        <v>28</v>
      </c>
      <c r="G193">
        <v>14950</v>
      </c>
      <c r="H193">
        <v>13170</v>
      </c>
      <c r="I193">
        <v>31</v>
      </c>
      <c r="J193">
        <v>50</v>
      </c>
      <c r="K193">
        <v>747500</v>
      </c>
      <c r="L193">
        <v>117713</v>
      </c>
      <c r="M193">
        <v>629787</v>
      </c>
      <c r="N193">
        <f t="shared" si="12"/>
        <v>658500</v>
      </c>
      <c r="O193">
        <f t="shared" si="13"/>
        <v>-28713</v>
      </c>
      <c r="P193">
        <f t="shared" si="14"/>
        <v>-4.5591604780663937E-2</v>
      </c>
      <c r="Q193">
        <v>1</v>
      </c>
      <c r="R193">
        <v>13455</v>
      </c>
      <c r="S193">
        <f t="shared" si="15"/>
        <v>3.2258064516129031E-2</v>
      </c>
      <c r="T193">
        <v>9</v>
      </c>
      <c r="U193">
        <v>3.22</v>
      </c>
      <c r="V193">
        <v>330429</v>
      </c>
      <c r="W193">
        <v>4818592</v>
      </c>
      <c r="X193">
        <f t="shared" si="16"/>
        <v>14.582836252265993</v>
      </c>
      <c r="Y193" t="str">
        <f t="shared" si="17"/>
        <v>Weak Product</v>
      </c>
    </row>
    <row r="194" spans="1:25" x14ac:dyDescent="0.3">
      <c r="A194" t="s">
        <v>420</v>
      </c>
      <c r="B194" t="s">
        <v>421</v>
      </c>
      <c r="C194" t="s">
        <v>32</v>
      </c>
      <c r="D194" s="1">
        <v>45602</v>
      </c>
      <c r="E194">
        <v>145</v>
      </c>
      <c r="F194" t="s">
        <v>28</v>
      </c>
      <c r="G194">
        <v>12203</v>
      </c>
      <c r="H194">
        <v>8165</v>
      </c>
      <c r="I194">
        <v>103</v>
      </c>
      <c r="J194">
        <v>160</v>
      </c>
      <c r="K194">
        <v>1952480</v>
      </c>
      <c r="L194">
        <v>312759</v>
      </c>
      <c r="M194">
        <v>1639721</v>
      </c>
      <c r="N194">
        <f t="shared" si="12"/>
        <v>1306400</v>
      </c>
      <c r="O194">
        <f t="shared" si="13"/>
        <v>333321</v>
      </c>
      <c r="P194">
        <f t="shared" si="14"/>
        <v>0.20327909443130873</v>
      </c>
      <c r="Q194">
        <v>8</v>
      </c>
      <c r="R194">
        <v>87856</v>
      </c>
      <c r="S194">
        <f t="shared" si="15"/>
        <v>7.7669902912621352E-2</v>
      </c>
      <c r="T194">
        <v>35</v>
      </c>
      <c r="U194">
        <v>3.71</v>
      </c>
      <c r="V194">
        <v>260423</v>
      </c>
      <c r="W194">
        <v>2298026</v>
      </c>
      <c r="X194">
        <f t="shared" si="16"/>
        <v>8.8242052353286766</v>
      </c>
      <c r="Y194" t="str">
        <f t="shared" si="17"/>
        <v>Weak Product</v>
      </c>
    </row>
    <row r="195" spans="1:25" x14ac:dyDescent="0.3">
      <c r="A195" t="s">
        <v>422</v>
      </c>
      <c r="B195" t="s">
        <v>423</v>
      </c>
      <c r="C195" t="s">
        <v>32</v>
      </c>
      <c r="D195" s="1">
        <v>45076</v>
      </c>
      <c r="E195">
        <v>671</v>
      </c>
      <c r="F195" t="s">
        <v>28</v>
      </c>
      <c r="G195">
        <v>1439</v>
      </c>
      <c r="H195">
        <v>1213</v>
      </c>
      <c r="I195">
        <v>275</v>
      </c>
      <c r="J195">
        <v>396</v>
      </c>
      <c r="K195">
        <v>569844</v>
      </c>
      <c r="L195">
        <v>93170</v>
      </c>
      <c r="M195">
        <v>476674</v>
      </c>
      <c r="N195">
        <f t="shared" ref="N195:N258" si="18">J195*H195</f>
        <v>480348</v>
      </c>
      <c r="O195">
        <f t="shared" ref="O195:O258" si="19">M195-N195</f>
        <v>-3674</v>
      </c>
      <c r="P195">
        <f t="shared" ref="P195:P258" si="20">IF(M195&gt;0, (M195-N195)/M195, 0)</f>
        <v>-7.7075737296349285E-3</v>
      </c>
      <c r="Q195">
        <v>17</v>
      </c>
      <c r="R195">
        <v>22015</v>
      </c>
      <c r="S195">
        <f t="shared" ref="S195:S258" si="21">IF(I195&gt;0, Q195/I195, 0)</f>
        <v>6.1818181818181821E-2</v>
      </c>
      <c r="T195">
        <v>122</v>
      </c>
      <c r="U195">
        <v>3.15</v>
      </c>
      <c r="V195">
        <v>114089</v>
      </c>
      <c r="W195">
        <v>75226</v>
      </c>
      <c r="X195">
        <f t="shared" ref="X195:X258" si="22">IF(V195&gt;0, W195/V195, 0)</f>
        <v>0.65936242757846941</v>
      </c>
      <c r="Y195" t="str">
        <f t="shared" ref="Y195:Y258" si="23">IF(E195&lt;=90, "Immature Product", IF(AND(O195&gt;0, U195&gt;=4, S195&lt;0.05), "Star", IF(AND(M195&gt;10000000, O195&lt;0), "Revenue Trap", IF(AND(O195&gt;0, U195&gt;=4, V195&lt;100000), "Hidden Opportunity", "Weak Product"))))</f>
        <v>Weak Product</v>
      </c>
    </row>
    <row r="196" spans="1:25" x14ac:dyDescent="0.3">
      <c r="A196" t="s">
        <v>424</v>
      </c>
      <c r="B196" t="s">
        <v>425</v>
      </c>
      <c r="C196" t="s">
        <v>32</v>
      </c>
      <c r="D196" s="1">
        <v>45215</v>
      </c>
      <c r="E196">
        <v>532</v>
      </c>
      <c r="F196" t="s">
        <v>28</v>
      </c>
      <c r="G196">
        <v>15042</v>
      </c>
      <c r="H196">
        <v>7115</v>
      </c>
      <c r="I196">
        <v>45</v>
      </c>
      <c r="J196">
        <v>72</v>
      </c>
      <c r="K196">
        <v>1083024</v>
      </c>
      <c r="L196">
        <v>143166</v>
      </c>
      <c r="M196">
        <v>939858</v>
      </c>
      <c r="N196">
        <f t="shared" si="18"/>
        <v>512280</v>
      </c>
      <c r="O196">
        <f t="shared" si="19"/>
        <v>427578</v>
      </c>
      <c r="P196">
        <f t="shared" si="20"/>
        <v>0.45493893758418824</v>
      </c>
      <c r="Q196">
        <v>6</v>
      </c>
      <c r="R196">
        <v>81222</v>
      </c>
      <c r="S196">
        <f t="shared" si="21"/>
        <v>0.13333333333333333</v>
      </c>
      <c r="T196">
        <v>19</v>
      </c>
      <c r="U196">
        <v>4.3899999999999997</v>
      </c>
      <c r="V196">
        <v>777424</v>
      </c>
      <c r="W196">
        <v>11595838</v>
      </c>
      <c r="X196">
        <f t="shared" si="22"/>
        <v>14.915719092798781</v>
      </c>
      <c r="Y196" t="str">
        <f t="shared" si="23"/>
        <v>Weak Product</v>
      </c>
    </row>
    <row r="197" spans="1:25" x14ac:dyDescent="0.3">
      <c r="A197" t="s">
        <v>426</v>
      </c>
      <c r="B197" t="s">
        <v>427</v>
      </c>
      <c r="C197" t="s">
        <v>32</v>
      </c>
      <c r="D197" s="1">
        <v>44861</v>
      </c>
      <c r="E197">
        <v>886</v>
      </c>
      <c r="F197" t="s">
        <v>28</v>
      </c>
      <c r="G197">
        <v>8478</v>
      </c>
      <c r="H197">
        <v>3965</v>
      </c>
      <c r="I197">
        <v>74</v>
      </c>
      <c r="J197">
        <v>107</v>
      </c>
      <c r="K197">
        <v>907146</v>
      </c>
      <c r="L197">
        <v>121993</v>
      </c>
      <c r="M197">
        <v>785153</v>
      </c>
      <c r="N197">
        <f t="shared" si="18"/>
        <v>424255</v>
      </c>
      <c r="O197">
        <f t="shared" si="19"/>
        <v>360898</v>
      </c>
      <c r="P197">
        <f t="shared" si="20"/>
        <v>0.45965308672322464</v>
      </c>
      <c r="Q197">
        <v>0</v>
      </c>
      <c r="R197">
        <v>0</v>
      </c>
      <c r="S197">
        <f t="shared" si="21"/>
        <v>0</v>
      </c>
      <c r="T197">
        <v>25</v>
      </c>
      <c r="U197">
        <v>4.46</v>
      </c>
      <c r="V197">
        <v>426043</v>
      </c>
      <c r="W197">
        <v>5224267</v>
      </c>
      <c r="X197">
        <f t="shared" si="22"/>
        <v>12.262299814807426</v>
      </c>
      <c r="Y197" t="str">
        <f t="shared" si="23"/>
        <v>Star</v>
      </c>
    </row>
    <row r="198" spans="1:25" x14ac:dyDescent="0.3">
      <c r="A198" t="s">
        <v>428</v>
      </c>
      <c r="B198" t="s">
        <v>429</v>
      </c>
      <c r="C198" t="s">
        <v>32</v>
      </c>
      <c r="D198" s="1">
        <v>45461</v>
      </c>
      <c r="E198">
        <v>286</v>
      </c>
      <c r="F198" t="s">
        <v>28</v>
      </c>
      <c r="G198">
        <v>14922</v>
      </c>
      <c r="H198">
        <v>11988</v>
      </c>
      <c r="I198">
        <v>80</v>
      </c>
      <c r="J198">
        <v>124</v>
      </c>
      <c r="K198">
        <v>1850328</v>
      </c>
      <c r="L198">
        <v>245212</v>
      </c>
      <c r="M198">
        <v>1605116</v>
      </c>
      <c r="N198">
        <f t="shared" si="18"/>
        <v>1486512</v>
      </c>
      <c r="O198">
        <f t="shared" si="19"/>
        <v>118604</v>
      </c>
      <c r="P198">
        <f t="shared" si="20"/>
        <v>7.3891232783175789E-2</v>
      </c>
      <c r="Q198">
        <v>8</v>
      </c>
      <c r="R198">
        <v>107432</v>
      </c>
      <c r="S198">
        <f t="shared" si="21"/>
        <v>0.1</v>
      </c>
      <c r="T198">
        <v>26</v>
      </c>
      <c r="U198">
        <v>3.37</v>
      </c>
      <c r="V198">
        <v>629276</v>
      </c>
      <c r="W198">
        <v>10898877</v>
      </c>
      <c r="X198">
        <f t="shared" si="22"/>
        <v>17.319708681087473</v>
      </c>
      <c r="Y198" t="str">
        <f t="shared" si="23"/>
        <v>Weak Product</v>
      </c>
    </row>
    <row r="199" spans="1:25" x14ac:dyDescent="0.3">
      <c r="A199" t="s">
        <v>430</v>
      </c>
      <c r="B199" t="s">
        <v>431</v>
      </c>
      <c r="C199" t="s">
        <v>32</v>
      </c>
      <c r="D199" s="1">
        <v>45565</v>
      </c>
      <c r="E199">
        <v>182</v>
      </c>
      <c r="F199" t="s">
        <v>28</v>
      </c>
      <c r="G199">
        <v>15111</v>
      </c>
      <c r="H199">
        <v>12425</v>
      </c>
      <c r="I199">
        <v>42</v>
      </c>
      <c r="J199">
        <v>60</v>
      </c>
      <c r="K199">
        <v>906660</v>
      </c>
      <c r="L199">
        <v>150284</v>
      </c>
      <c r="M199">
        <v>756376</v>
      </c>
      <c r="N199">
        <f t="shared" si="18"/>
        <v>745500</v>
      </c>
      <c r="O199">
        <f t="shared" si="19"/>
        <v>10876</v>
      </c>
      <c r="P199">
        <f t="shared" si="20"/>
        <v>1.4379091880228881E-2</v>
      </c>
      <c r="Q199">
        <v>7</v>
      </c>
      <c r="R199">
        <v>95193</v>
      </c>
      <c r="S199">
        <f t="shared" si="21"/>
        <v>0.16666666666666666</v>
      </c>
      <c r="T199">
        <v>15</v>
      </c>
      <c r="U199">
        <v>3.23</v>
      </c>
      <c r="V199">
        <v>397990</v>
      </c>
      <c r="W199">
        <v>8564329</v>
      </c>
      <c r="X199">
        <f t="shared" si="22"/>
        <v>21.518955250131913</v>
      </c>
      <c r="Y199" t="str">
        <f t="shared" si="23"/>
        <v>Weak Product</v>
      </c>
    </row>
    <row r="200" spans="1:25" x14ac:dyDescent="0.3">
      <c r="A200" t="s">
        <v>432</v>
      </c>
      <c r="B200" t="s">
        <v>433</v>
      </c>
      <c r="C200" t="s">
        <v>32</v>
      </c>
      <c r="D200" s="1">
        <v>45142</v>
      </c>
      <c r="E200">
        <v>605</v>
      </c>
      <c r="F200" t="s">
        <v>28</v>
      </c>
      <c r="G200">
        <v>18321</v>
      </c>
      <c r="H200">
        <v>12018</v>
      </c>
      <c r="I200">
        <v>23</v>
      </c>
      <c r="J200">
        <v>35</v>
      </c>
      <c r="K200">
        <v>641235</v>
      </c>
      <c r="L200">
        <v>98613</v>
      </c>
      <c r="M200">
        <v>542622</v>
      </c>
      <c r="N200">
        <f t="shared" si="18"/>
        <v>420630</v>
      </c>
      <c r="O200">
        <f t="shared" si="19"/>
        <v>121992</v>
      </c>
      <c r="P200">
        <f t="shared" si="20"/>
        <v>0.22481948759910214</v>
      </c>
      <c r="Q200">
        <v>0</v>
      </c>
      <c r="R200">
        <v>0</v>
      </c>
      <c r="S200">
        <f t="shared" si="21"/>
        <v>0</v>
      </c>
      <c r="T200">
        <v>10</v>
      </c>
      <c r="U200">
        <v>3.45</v>
      </c>
      <c r="V200">
        <v>86865</v>
      </c>
      <c r="W200">
        <v>926415</v>
      </c>
      <c r="X200">
        <f t="shared" si="22"/>
        <v>10.664997409773786</v>
      </c>
      <c r="Y200" t="str">
        <f t="shared" si="23"/>
        <v>Weak Product</v>
      </c>
    </row>
    <row r="201" spans="1:25" x14ac:dyDescent="0.3">
      <c r="A201" t="s">
        <v>434</v>
      </c>
      <c r="B201" t="s">
        <v>435</v>
      </c>
      <c r="C201" t="s">
        <v>32</v>
      </c>
      <c r="D201" s="1">
        <v>45040</v>
      </c>
      <c r="E201">
        <v>707</v>
      </c>
      <c r="F201" t="s">
        <v>28</v>
      </c>
      <c r="G201">
        <v>16969</v>
      </c>
      <c r="H201">
        <v>13559</v>
      </c>
      <c r="I201">
        <v>33</v>
      </c>
      <c r="J201">
        <v>55</v>
      </c>
      <c r="K201">
        <v>933295</v>
      </c>
      <c r="L201">
        <v>144816</v>
      </c>
      <c r="M201">
        <v>788479</v>
      </c>
      <c r="N201">
        <f t="shared" si="18"/>
        <v>745745</v>
      </c>
      <c r="O201">
        <f t="shared" si="19"/>
        <v>42734</v>
      </c>
      <c r="P201">
        <f t="shared" si="20"/>
        <v>5.4198019224354736E-2</v>
      </c>
      <c r="Q201">
        <v>2</v>
      </c>
      <c r="R201">
        <v>30544</v>
      </c>
      <c r="S201">
        <f t="shared" si="21"/>
        <v>6.0606060606060608E-2</v>
      </c>
      <c r="T201">
        <v>12</v>
      </c>
      <c r="U201">
        <v>3.33</v>
      </c>
      <c r="V201">
        <v>215192</v>
      </c>
      <c r="W201">
        <v>3678547</v>
      </c>
      <c r="X201">
        <f t="shared" si="22"/>
        <v>17.094255362652888</v>
      </c>
      <c r="Y201" t="str">
        <f t="shared" si="23"/>
        <v>Weak Product</v>
      </c>
    </row>
    <row r="202" spans="1:25" x14ac:dyDescent="0.3">
      <c r="A202" t="s">
        <v>436</v>
      </c>
      <c r="B202" t="s">
        <v>437</v>
      </c>
      <c r="C202" t="s">
        <v>32</v>
      </c>
      <c r="D202" s="1">
        <v>45399</v>
      </c>
      <c r="E202">
        <v>348</v>
      </c>
      <c r="F202" t="s">
        <v>28</v>
      </c>
      <c r="G202">
        <v>15614</v>
      </c>
      <c r="H202">
        <v>8405</v>
      </c>
      <c r="I202">
        <v>59</v>
      </c>
      <c r="J202">
        <v>93</v>
      </c>
      <c r="K202">
        <v>1452102</v>
      </c>
      <c r="L202">
        <v>202268</v>
      </c>
      <c r="M202">
        <v>1249834</v>
      </c>
      <c r="N202">
        <f t="shared" si="18"/>
        <v>781665</v>
      </c>
      <c r="O202">
        <f t="shared" si="19"/>
        <v>468169</v>
      </c>
      <c r="P202">
        <f t="shared" si="20"/>
        <v>0.37458494488068017</v>
      </c>
      <c r="Q202">
        <v>5</v>
      </c>
      <c r="R202">
        <v>70260</v>
      </c>
      <c r="S202">
        <f t="shared" si="21"/>
        <v>8.4745762711864403E-2</v>
      </c>
      <c r="T202">
        <v>22</v>
      </c>
      <c r="U202">
        <v>4.3899999999999997</v>
      </c>
      <c r="V202">
        <v>336933</v>
      </c>
      <c r="W202">
        <v>7328568</v>
      </c>
      <c r="X202">
        <f t="shared" si="22"/>
        <v>21.750816927994588</v>
      </c>
      <c r="Y202" t="str">
        <f t="shared" si="23"/>
        <v>Weak Product</v>
      </c>
    </row>
    <row r="203" spans="1:25" x14ac:dyDescent="0.3">
      <c r="A203" t="s">
        <v>438</v>
      </c>
      <c r="B203" t="s">
        <v>439</v>
      </c>
      <c r="C203" t="s">
        <v>32</v>
      </c>
      <c r="D203" s="1">
        <v>45423</v>
      </c>
      <c r="E203">
        <v>324</v>
      </c>
      <c r="F203" t="s">
        <v>28</v>
      </c>
      <c r="G203">
        <v>13759</v>
      </c>
      <c r="H203">
        <v>7620</v>
      </c>
      <c r="I203">
        <v>51</v>
      </c>
      <c r="J203">
        <v>75</v>
      </c>
      <c r="K203">
        <v>1031925</v>
      </c>
      <c r="L203">
        <v>175907</v>
      </c>
      <c r="M203">
        <v>856018</v>
      </c>
      <c r="N203">
        <f t="shared" si="18"/>
        <v>571500</v>
      </c>
      <c r="O203">
        <f t="shared" si="19"/>
        <v>284518</v>
      </c>
      <c r="P203">
        <f t="shared" si="20"/>
        <v>0.33237385195171132</v>
      </c>
      <c r="Q203">
        <v>5</v>
      </c>
      <c r="R203">
        <v>61915</v>
      </c>
      <c r="S203">
        <f t="shared" si="21"/>
        <v>9.8039215686274508E-2</v>
      </c>
      <c r="T203">
        <v>22</v>
      </c>
      <c r="U203">
        <v>4.0199999999999996</v>
      </c>
      <c r="V203">
        <v>371621</v>
      </c>
      <c r="W203">
        <v>5639020</v>
      </c>
      <c r="X203">
        <f t="shared" si="22"/>
        <v>15.174115563975125</v>
      </c>
      <c r="Y203" t="str">
        <f t="shared" si="23"/>
        <v>Weak Product</v>
      </c>
    </row>
    <row r="204" spans="1:25" x14ac:dyDescent="0.3">
      <c r="A204" t="s">
        <v>440</v>
      </c>
      <c r="B204" t="s">
        <v>441</v>
      </c>
      <c r="C204" t="s">
        <v>32</v>
      </c>
      <c r="D204" s="1">
        <v>45633</v>
      </c>
      <c r="E204">
        <v>114</v>
      </c>
      <c r="F204" t="s">
        <v>28</v>
      </c>
      <c r="G204">
        <v>11588</v>
      </c>
      <c r="H204">
        <v>9759</v>
      </c>
      <c r="I204">
        <v>70</v>
      </c>
      <c r="J204">
        <v>99</v>
      </c>
      <c r="K204">
        <v>1147212</v>
      </c>
      <c r="L204">
        <v>138504</v>
      </c>
      <c r="M204">
        <v>1008708</v>
      </c>
      <c r="N204">
        <f t="shared" si="18"/>
        <v>966141</v>
      </c>
      <c r="O204">
        <f t="shared" si="19"/>
        <v>42567</v>
      </c>
      <c r="P204">
        <f t="shared" si="20"/>
        <v>4.2199526523037392E-2</v>
      </c>
      <c r="Q204">
        <v>6</v>
      </c>
      <c r="R204">
        <v>62574</v>
      </c>
      <c r="S204">
        <f t="shared" si="21"/>
        <v>8.5714285714285715E-2</v>
      </c>
      <c r="T204">
        <v>23</v>
      </c>
      <c r="U204">
        <v>3.11</v>
      </c>
      <c r="V204">
        <v>657263</v>
      </c>
      <c r="W204">
        <v>8569379</v>
      </c>
      <c r="X204">
        <f t="shared" si="22"/>
        <v>13.037975665753283</v>
      </c>
      <c r="Y204" t="str">
        <f t="shared" si="23"/>
        <v>Weak Product</v>
      </c>
    </row>
    <row r="205" spans="1:25" x14ac:dyDescent="0.3">
      <c r="A205" t="s">
        <v>442</v>
      </c>
      <c r="B205" t="s">
        <v>443</v>
      </c>
      <c r="C205" t="s">
        <v>32</v>
      </c>
      <c r="D205" s="1">
        <v>45146</v>
      </c>
      <c r="E205">
        <v>601</v>
      </c>
      <c r="F205" t="s">
        <v>28</v>
      </c>
      <c r="G205">
        <v>4367</v>
      </c>
      <c r="H205">
        <v>2912</v>
      </c>
      <c r="I205">
        <v>141</v>
      </c>
      <c r="J205">
        <v>219</v>
      </c>
      <c r="K205">
        <v>956373</v>
      </c>
      <c r="L205">
        <v>110456</v>
      </c>
      <c r="M205">
        <v>845917</v>
      </c>
      <c r="N205">
        <f t="shared" si="18"/>
        <v>637728</v>
      </c>
      <c r="O205">
        <f t="shared" si="19"/>
        <v>208189</v>
      </c>
      <c r="P205">
        <f t="shared" si="20"/>
        <v>0.2461104340023903</v>
      </c>
      <c r="Q205">
        <v>12</v>
      </c>
      <c r="R205">
        <v>47160</v>
      </c>
      <c r="S205">
        <f t="shared" si="21"/>
        <v>8.5106382978723402E-2</v>
      </c>
      <c r="T205">
        <v>63</v>
      </c>
      <c r="U205">
        <v>3.79</v>
      </c>
      <c r="V205">
        <v>81705</v>
      </c>
      <c r="W205">
        <v>282712</v>
      </c>
      <c r="X205">
        <f t="shared" si="22"/>
        <v>3.4601554372437429</v>
      </c>
      <c r="Y205" t="str">
        <f t="shared" si="23"/>
        <v>Weak Product</v>
      </c>
    </row>
    <row r="206" spans="1:25" x14ac:dyDescent="0.3">
      <c r="A206" t="s">
        <v>444</v>
      </c>
      <c r="B206" t="s">
        <v>445</v>
      </c>
      <c r="C206" t="s">
        <v>32</v>
      </c>
      <c r="D206" s="1">
        <v>45091</v>
      </c>
      <c r="E206">
        <v>656</v>
      </c>
      <c r="F206" t="s">
        <v>28</v>
      </c>
      <c r="G206">
        <v>9606</v>
      </c>
      <c r="H206">
        <v>4988</v>
      </c>
      <c r="I206">
        <v>75</v>
      </c>
      <c r="J206">
        <v>104</v>
      </c>
      <c r="K206">
        <v>999024</v>
      </c>
      <c r="L206">
        <v>165838</v>
      </c>
      <c r="M206">
        <v>833186</v>
      </c>
      <c r="N206">
        <f t="shared" si="18"/>
        <v>518752</v>
      </c>
      <c r="O206">
        <f t="shared" si="19"/>
        <v>314434</v>
      </c>
      <c r="P206">
        <f t="shared" si="20"/>
        <v>0.37738752211390975</v>
      </c>
      <c r="Q206">
        <v>14</v>
      </c>
      <c r="R206">
        <v>121030</v>
      </c>
      <c r="S206">
        <f t="shared" si="21"/>
        <v>0.18666666666666668</v>
      </c>
      <c r="T206">
        <v>22</v>
      </c>
      <c r="U206">
        <v>4.55</v>
      </c>
      <c r="V206">
        <v>411860</v>
      </c>
      <c r="W206">
        <v>6223421</v>
      </c>
      <c r="X206">
        <f t="shared" si="22"/>
        <v>15.110525421259652</v>
      </c>
      <c r="Y206" t="str">
        <f t="shared" si="23"/>
        <v>Weak Product</v>
      </c>
    </row>
    <row r="207" spans="1:25" x14ac:dyDescent="0.3">
      <c r="A207" t="s">
        <v>446</v>
      </c>
      <c r="B207" t="s">
        <v>447</v>
      </c>
      <c r="C207" t="s">
        <v>32</v>
      </c>
      <c r="D207" s="1">
        <v>45007</v>
      </c>
      <c r="E207">
        <v>740</v>
      </c>
      <c r="F207" t="s">
        <v>28</v>
      </c>
      <c r="G207">
        <v>3360</v>
      </c>
      <c r="H207">
        <v>2264</v>
      </c>
      <c r="I207">
        <v>130</v>
      </c>
      <c r="J207">
        <v>188</v>
      </c>
      <c r="K207">
        <v>631680</v>
      </c>
      <c r="L207">
        <v>108201</v>
      </c>
      <c r="M207">
        <v>523479</v>
      </c>
      <c r="N207">
        <f t="shared" si="18"/>
        <v>425632</v>
      </c>
      <c r="O207">
        <f t="shared" si="19"/>
        <v>97847</v>
      </c>
      <c r="P207">
        <f t="shared" si="20"/>
        <v>0.18691676265905605</v>
      </c>
      <c r="Q207">
        <v>8</v>
      </c>
      <c r="R207">
        <v>24192</v>
      </c>
      <c r="S207">
        <f t="shared" si="21"/>
        <v>6.1538461538461542E-2</v>
      </c>
      <c r="T207">
        <v>43</v>
      </c>
      <c r="U207">
        <v>3.86</v>
      </c>
      <c r="V207">
        <v>268164</v>
      </c>
      <c r="W207">
        <v>978508</v>
      </c>
      <c r="X207">
        <f t="shared" si="22"/>
        <v>3.6489163347802092</v>
      </c>
      <c r="Y207" t="str">
        <f t="shared" si="23"/>
        <v>Weak Product</v>
      </c>
    </row>
    <row r="208" spans="1:25" x14ac:dyDescent="0.3">
      <c r="A208" t="s">
        <v>448</v>
      </c>
      <c r="B208" t="s">
        <v>449</v>
      </c>
      <c r="C208" t="s">
        <v>32</v>
      </c>
      <c r="D208" s="1">
        <v>45412</v>
      </c>
      <c r="E208">
        <v>335</v>
      </c>
      <c r="F208" t="s">
        <v>28</v>
      </c>
      <c r="G208">
        <v>11362</v>
      </c>
      <c r="H208">
        <v>5918</v>
      </c>
      <c r="I208">
        <v>105</v>
      </c>
      <c r="J208">
        <v>152</v>
      </c>
      <c r="K208">
        <v>1727024</v>
      </c>
      <c r="L208">
        <v>292627</v>
      </c>
      <c r="M208">
        <v>1434397</v>
      </c>
      <c r="N208">
        <f t="shared" si="18"/>
        <v>899536</v>
      </c>
      <c r="O208">
        <f t="shared" si="19"/>
        <v>534861</v>
      </c>
      <c r="P208">
        <f t="shared" si="20"/>
        <v>0.37288212398659504</v>
      </c>
      <c r="Q208">
        <v>9</v>
      </c>
      <c r="R208">
        <v>92025</v>
      </c>
      <c r="S208">
        <f t="shared" si="21"/>
        <v>8.5714285714285715E-2</v>
      </c>
      <c r="T208">
        <v>42</v>
      </c>
      <c r="U208">
        <v>4.3099999999999996</v>
      </c>
      <c r="V208">
        <v>720535</v>
      </c>
      <c r="W208">
        <v>5887927</v>
      </c>
      <c r="X208">
        <f t="shared" si="22"/>
        <v>8.171604432817281</v>
      </c>
      <c r="Y208" t="str">
        <f t="shared" si="23"/>
        <v>Weak Product</v>
      </c>
    </row>
    <row r="209" spans="1:25" x14ac:dyDescent="0.3">
      <c r="A209" t="s">
        <v>450</v>
      </c>
      <c r="B209" t="s">
        <v>451</v>
      </c>
      <c r="C209" t="s">
        <v>32</v>
      </c>
      <c r="D209" s="1">
        <v>45261</v>
      </c>
      <c r="E209">
        <v>486</v>
      </c>
      <c r="F209" t="s">
        <v>28</v>
      </c>
      <c r="G209">
        <v>7206</v>
      </c>
      <c r="H209">
        <v>3998</v>
      </c>
      <c r="I209">
        <v>105</v>
      </c>
      <c r="J209">
        <v>153</v>
      </c>
      <c r="K209">
        <v>1102518</v>
      </c>
      <c r="L209">
        <v>160636</v>
      </c>
      <c r="M209">
        <v>941882</v>
      </c>
      <c r="N209">
        <f t="shared" si="18"/>
        <v>611694</v>
      </c>
      <c r="O209">
        <f t="shared" si="19"/>
        <v>330188</v>
      </c>
      <c r="P209">
        <f t="shared" si="20"/>
        <v>0.35056195999074197</v>
      </c>
      <c r="Q209">
        <v>13</v>
      </c>
      <c r="R209">
        <v>84305</v>
      </c>
      <c r="S209">
        <f t="shared" si="21"/>
        <v>0.12380952380952381</v>
      </c>
      <c r="T209">
        <v>46</v>
      </c>
      <c r="U209">
        <v>4.1500000000000004</v>
      </c>
      <c r="V209">
        <v>72528</v>
      </c>
      <c r="W209">
        <v>744375</v>
      </c>
      <c r="X209">
        <f t="shared" si="22"/>
        <v>10.26327763070814</v>
      </c>
      <c r="Y209" t="str">
        <f t="shared" si="23"/>
        <v>Hidden Opportunity</v>
      </c>
    </row>
    <row r="210" spans="1:25" x14ac:dyDescent="0.3">
      <c r="A210" t="s">
        <v>452</v>
      </c>
      <c r="B210" t="s">
        <v>453</v>
      </c>
      <c r="C210" t="s">
        <v>32</v>
      </c>
      <c r="D210" s="1">
        <v>45536</v>
      </c>
      <c r="E210">
        <v>211</v>
      </c>
      <c r="F210" t="s">
        <v>28</v>
      </c>
      <c r="G210">
        <v>16124</v>
      </c>
      <c r="H210">
        <v>12734</v>
      </c>
      <c r="I210">
        <v>26</v>
      </c>
      <c r="J210">
        <v>39</v>
      </c>
      <c r="K210">
        <v>628836</v>
      </c>
      <c r="L210">
        <v>73997</v>
      </c>
      <c r="M210">
        <v>554839</v>
      </c>
      <c r="N210">
        <f t="shared" si="18"/>
        <v>496626</v>
      </c>
      <c r="O210">
        <f t="shared" si="19"/>
        <v>58213</v>
      </c>
      <c r="P210">
        <f t="shared" si="20"/>
        <v>0.10491872417043503</v>
      </c>
      <c r="Q210">
        <v>6</v>
      </c>
      <c r="R210">
        <v>87066</v>
      </c>
      <c r="S210">
        <f t="shared" si="21"/>
        <v>0.23076923076923078</v>
      </c>
      <c r="T210">
        <v>8</v>
      </c>
      <c r="U210">
        <v>3.56</v>
      </c>
      <c r="V210">
        <v>386228</v>
      </c>
      <c r="W210">
        <v>8126115</v>
      </c>
      <c r="X210">
        <f t="shared" si="22"/>
        <v>21.039683813705896</v>
      </c>
      <c r="Y210" t="str">
        <f t="shared" si="23"/>
        <v>Weak Product</v>
      </c>
    </row>
    <row r="211" spans="1:25" x14ac:dyDescent="0.3">
      <c r="A211" t="s">
        <v>454</v>
      </c>
      <c r="B211" t="s">
        <v>455</v>
      </c>
      <c r="C211" t="s">
        <v>32</v>
      </c>
      <c r="D211" s="1">
        <v>45456</v>
      </c>
      <c r="E211">
        <v>291</v>
      </c>
      <c r="F211" t="s">
        <v>28</v>
      </c>
      <c r="G211">
        <v>15517</v>
      </c>
      <c r="H211">
        <v>12540</v>
      </c>
      <c r="I211">
        <v>82</v>
      </c>
      <c r="J211">
        <v>118</v>
      </c>
      <c r="K211">
        <v>1831006</v>
      </c>
      <c r="L211">
        <v>311266</v>
      </c>
      <c r="M211">
        <v>1519740</v>
      </c>
      <c r="N211">
        <f t="shared" si="18"/>
        <v>1479720</v>
      </c>
      <c r="O211">
        <f t="shared" si="19"/>
        <v>40020</v>
      </c>
      <c r="P211">
        <f t="shared" si="20"/>
        <v>2.6333451774645664E-2</v>
      </c>
      <c r="Q211">
        <v>6</v>
      </c>
      <c r="R211">
        <v>83790</v>
      </c>
      <c r="S211">
        <f t="shared" si="21"/>
        <v>7.3170731707317069E-2</v>
      </c>
      <c r="T211">
        <v>34</v>
      </c>
      <c r="U211">
        <v>3.25</v>
      </c>
      <c r="V211">
        <v>341063</v>
      </c>
      <c r="W211">
        <v>6494430</v>
      </c>
      <c r="X211">
        <f t="shared" si="22"/>
        <v>19.041731293045565</v>
      </c>
      <c r="Y211" t="str">
        <f t="shared" si="23"/>
        <v>Weak Product</v>
      </c>
    </row>
    <row r="212" spans="1:25" x14ac:dyDescent="0.3">
      <c r="A212" t="s">
        <v>456</v>
      </c>
      <c r="B212" t="s">
        <v>457</v>
      </c>
      <c r="C212" t="s">
        <v>32</v>
      </c>
      <c r="D212" s="1">
        <v>44943</v>
      </c>
      <c r="E212">
        <v>804</v>
      </c>
      <c r="F212" t="s">
        <v>28</v>
      </c>
      <c r="G212">
        <v>12440</v>
      </c>
      <c r="H212">
        <v>8313</v>
      </c>
      <c r="I212">
        <v>67</v>
      </c>
      <c r="J212">
        <v>99</v>
      </c>
      <c r="K212">
        <v>1231560</v>
      </c>
      <c r="L212">
        <v>178553</v>
      </c>
      <c r="M212">
        <v>1053007</v>
      </c>
      <c r="N212">
        <f t="shared" si="18"/>
        <v>822987</v>
      </c>
      <c r="O212">
        <f t="shared" si="19"/>
        <v>230020</v>
      </c>
      <c r="P212">
        <f t="shared" si="20"/>
        <v>0.21844109298418718</v>
      </c>
      <c r="Q212">
        <v>8</v>
      </c>
      <c r="R212">
        <v>89568</v>
      </c>
      <c r="S212">
        <f t="shared" si="21"/>
        <v>0.11940298507462686</v>
      </c>
      <c r="T212">
        <v>30</v>
      </c>
      <c r="U212">
        <v>3.93</v>
      </c>
      <c r="V212">
        <v>433189</v>
      </c>
      <c r="W212">
        <v>7534790</v>
      </c>
      <c r="X212">
        <f t="shared" si="22"/>
        <v>17.393770386597996</v>
      </c>
      <c r="Y212" t="str">
        <f t="shared" si="23"/>
        <v>Weak Product</v>
      </c>
    </row>
    <row r="213" spans="1:25" x14ac:dyDescent="0.3">
      <c r="A213" t="s">
        <v>458</v>
      </c>
      <c r="B213" t="s">
        <v>459</v>
      </c>
      <c r="C213" t="s">
        <v>32</v>
      </c>
      <c r="D213" s="1">
        <v>45465</v>
      </c>
      <c r="E213">
        <v>282</v>
      </c>
      <c r="F213" t="s">
        <v>28</v>
      </c>
      <c r="G213">
        <v>9808</v>
      </c>
      <c r="H213">
        <v>4654</v>
      </c>
      <c r="I213">
        <v>82</v>
      </c>
      <c r="J213">
        <v>116</v>
      </c>
      <c r="K213">
        <v>1137728</v>
      </c>
      <c r="L213">
        <v>91028</v>
      </c>
      <c r="M213">
        <v>1046700</v>
      </c>
      <c r="N213">
        <f t="shared" si="18"/>
        <v>539864</v>
      </c>
      <c r="O213">
        <f t="shared" si="19"/>
        <v>506836</v>
      </c>
      <c r="P213">
        <f t="shared" si="20"/>
        <v>0.48422279545237412</v>
      </c>
      <c r="Q213">
        <v>4</v>
      </c>
      <c r="R213">
        <v>35308</v>
      </c>
      <c r="S213">
        <f t="shared" si="21"/>
        <v>4.878048780487805E-2</v>
      </c>
      <c r="T213">
        <v>36</v>
      </c>
      <c r="U213">
        <v>4.4400000000000004</v>
      </c>
      <c r="V213">
        <v>556292</v>
      </c>
      <c r="W213">
        <v>5480096</v>
      </c>
      <c r="X213">
        <f t="shared" si="22"/>
        <v>9.8511141630654411</v>
      </c>
      <c r="Y213" t="str">
        <f t="shared" si="23"/>
        <v>Star</v>
      </c>
    </row>
    <row r="214" spans="1:25" x14ac:dyDescent="0.3">
      <c r="A214" t="s">
        <v>460</v>
      </c>
      <c r="B214" t="s">
        <v>461</v>
      </c>
      <c r="C214" t="s">
        <v>32</v>
      </c>
      <c r="D214" s="1">
        <v>45345</v>
      </c>
      <c r="E214">
        <v>402</v>
      </c>
      <c r="F214" t="s">
        <v>28</v>
      </c>
      <c r="G214">
        <v>6519</v>
      </c>
      <c r="H214">
        <v>3628</v>
      </c>
      <c r="I214">
        <v>57</v>
      </c>
      <c r="J214">
        <v>78</v>
      </c>
      <c r="K214">
        <v>508482</v>
      </c>
      <c r="L214">
        <v>100581</v>
      </c>
      <c r="M214">
        <v>407901</v>
      </c>
      <c r="N214">
        <f t="shared" si="18"/>
        <v>282984</v>
      </c>
      <c r="O214">
        <f t="shared" si="19"/>
        <v>124917</v>
      </c>
      <c r="P214">
        <f t="shared" si="20"/>
        <v>0.30624342671383498</v>
      </c>
      <c r="Q214">
        <v>4</v>
      </c>
      <c r="R214">
        <v>23468</v>
      </c>
      <c r="S214">
        <f t="shared" si="21"/>
        <v>7.0175438596491224E-2</v>
      </c>
      <c r="T214">
        <v>20</v>
      </c>
      <c r="U214">
        <v>4.4000000000000004</v>
      </c>
      <c r="V214">
        <v>787749</v>
      </c>
      <c r="W214">
        <v>5037374</v>
      </c>
      <c r="X214">
        <f t="shared" si="22"/>
        <v>6.3946434714610874</v>
      </c>
      <c r="Y214" t="str">
        <f t="shared" si="23"/>
        <v>Weak Product</v>
      </c>
    </row>
    <row r="215" spans="1:25" x14ac:dyDescent="0.3">
      <c r="A215" t="s">
        <v>462</v>
      </c>
      <c r="B215" t="s">
        <v>463</v>
      </c>
      <c r="C215" t="s">
        <v>32</v>
      </c>
      <c r="D215" s="1">
        <v>45081</v>
      </c>
      <c r="E215">
        <v>666</v>
      </c>
      <c r="F215" t="s">
        <v>28</v>
      </c>
      <c r="G215">
        <v>16861</v>
      </c>
      <c r="H215">
        <v>11705</v>
      </c>
      <c r="I215">
        <v>48</v>
      </c>
      <c r="J215">
        <v>74</v>
      </c>
      <c r="K215">
        <v>1247714</v>
      </c>
      <c r="L215">
        <v>139083</v>
      </c>
      <c r="M215">
        <v>1108631</v>
      </c>
      <c r="N215">
        <f t="shared" si="18"/>
        <v>866170</v>
      </c>
      <c r="O215">
        <f t="shared" si="19"/>
        <v>242461</v>
      </c>
      <c r="P215">
        <f t="shared" si="20"/>
        <v>0.21870306711610987</v>
      </c>
      <c r="Q215">
        <v>5</v>
      </c>
      <c r="R215">
        <v>75870</v>
      </c>
      <c r="S215">
        <f t="shared" si="21"/>
        <v>0.10416666666666667</v>
      </c>
      <c r="T215">
        <v>19</v>
      </c>
      <c r="U215">
        <v>3.53</v>
      </c>
      <c r="V215">
        <v>674057</v>
      </c>
      <c r="W215">
        <v>10368163</v>
      </c>
      <c r="X215">
        <f t="shared" si="22"/>
        <v>15.381730328444034</v>
      </c>
      <c r="Y215" t="str">
        <f t="shared" si="23"/>
        <v>Weak Product</v>
      </c>
    </row>
    <row r="216" spans="1:25" x14ac:dyDescent="0.3">
      <c r="A216" t="s">
        <v>464</v>
      </c>
      <c r="B216" t="s">
        <v>465</v>
      </c>
      <c r="C216" t="s">
        <v>32</v>
      </c>
      <c r="D216" s="1">
        <v>44945</v>
      </c>
      <c r="E216">
        <v>802</v>
      </c>
      <c r="F216" t="s">
        <v>28</v>
      </c>
      <c r="G216">
        <v>9662</v>
      </c>
      <c r="H216">
        <v>6362</v>
      </c>
      <c r="I216">
        <v>70</v>
      </c>
      <c r="J216">
        <v>106</v>
      </c>
      <c r="K216">
        <v>1024172</v>
      </c>
      <c r="L216">
        <v>150888</v>
      </c>
      <c r="M216">
        <v>873284</v>
      </c>
      <c r="N216">
        <f t="shared" si="18"/>
        <v>674372</v>
      </c>
      <c r="O216">
        <f t="shared" si="19"/>
        <v>198912</v>
      </c>
      <c r="P216">
        <f t="shared" si="20"/>
        <v>0.22777469872343933</v>
      </c>
      <c r="Q216">
        <v>14</v>
      </c>
      <c r="R216">
        <v>121730</v>
      </c>
      <c r="S216">
        <f t="shared" si="21"/>
        <v>0.2</v>
      </c>
      <c r="T216">
        <v>23</v>
      </c>
      <c r="U216">
        <v>3.74</v>
      </c>
      <c r="V216">
        <v>132882</v>
      </c>
      <c r="W216">
        <v>2492234</v>
      </c>
      <c r="X216">
        <f t="shared" si="22"/>
        <v>18.755241492451951</v>
      </c>
      <c r="Y216" t="str">
        <f t="shared" si="23"/>
        <v>Weak Product</v>
      </c>
    </row>
    <row r="217" spans="1:25" x14ac:dyDescent="0.3">
      <c r="A217" t="s">
        <v>466</v>
      </c>
      <c r="B217" t="s">
        <v>467</v>
      </c>
      <c r="C217" t="s">
        <v>32</v>
      </c>
      <c r="D217" s="1">
        <v>45034</v>
      </c>
      <c r="E217">
        <v>713</v>
      </c>
      <c r="F217" t="s">
        <v>28</v>
      </c>
      <c r="G217">
        <v>1975</v>
      </c>
      <c r="H217">
        <v>1270</v>
      </c>
      <c r="I217">
        <v>126</v>
      </c>
      <c r="J217">
        <v>194</v>
      </c>
      <c r="K217">
        <v>383150</v>
      </c>
      <c r="L217">
        <v>75167</v>
      </c>
      <c r="M217">
        <v>307983</v>
      </c>
      <c r="N217">
        <f t="shared" si="18"/>
        <v>246380</v>
      </c>
      <c r="O217">
        <f t="shared" si="19"/>
        <v>61603</v>
      </c>
      <c r="P217">
        <f t="shared" si="20"/>
        <v>0.20002078036774756</v>
      </c>
      <c r="Q217">
        <v>13</v>
      </c>
      <c r="R217">
        <v>23101</v>
      </c>
      <c r="S217">
        <f t="shared" si="21"/>
        <v>0.10317460317460317</v>
      </c>
      <c r="T217">
        <v>49</v>
      </c>
      <c r="U217">
        <v>3.78</v>
      </c>
      <c r="V217">
        <v>675668</v>
      </c>
      <c r="W217">
        <v>1535915</v>
      </c>
      <c r="X217">
        <f t="shared" si="22"/>
        <v>2.273180023325065</v>
      </c>
      <c r="Y217" t="str">
        <f t="shared" si="23"/>
        <v>Weak Product</v>
      </c>
    </row>
    <row r="218" spans="1:25" x14ac:dyDescent="0.3">
      <c r="A218" t="s">
        <v>468</v>
      </c>
      <c r="B218" t="s">
        <v>469</v>
      </c>
      <c r="C218" t="s">
        <v>32</v>
      </c>
      <c r="D218" s="1">
        <v>44934</v>
      </c>
      <c r="E218">
        <v>813</v>
      </c>
      <c r="F218" t="s">
        <v>28</v>
      </c>
      <c r="G218">
        <v>4192</v>
      </c>
      <c r="H218">
        <v>3530</v>
      </c>
      <c r="I218">
        <v>73</v>
      </c>
      <c r="J218">
        <v>111</v>
      </c>
      <c r="K218">
        <v>465312</v>
      </c>
      <c r="L218">
        <v>59435</v>
      </c>
      <c r="M218">
        <v>405877</v>
      </c>
      <c r="N218">
        <f t="shared" si="18"/>
        <v>391830</v>
      </c>
      <c r="O218">
        <f t="shared" si="19"/>
        <v>14047</v>
      </c>
      <c r="P218">
        <f t="shared" si="20"/>
        <v>3.460900716226837E-2</v>
      </c>
      <c r="Q218">
        <v>3</v>
      </c>
      <c r="R218">
        <v>11316</v>
      </c>
      <c r="S218">
        <f t="shared" si="21"/>
        <v>4.1095890410958902E-2</v>
      </c>
      <c r="T218">
        <v>31</v>
      </c>
      <c r="U218">
        <v>3</v>
      </c>
      <c r="V218">
        <v>631727</v>
      </c>
      <c r="W218">
        <v>2816279</v>
      </c>
      <c r="X218">
        <f t="shared" si="22"/>
        <v>4.4580633723111411</v>
      </c>
      <c r="Y218" t="str">
        <f t="shared" si="23"/>
        <v>Weak Product</v>
      </c>
    </row>
    <row r="219" spans="1:25" x14ac:dyDescent="0.3">
      <c r="A219" t="s">
        <v>470</v>
      </c>
      <c r="B219" t="s">
        <v>471</v>
      </c>
      <c r="C219" t="s">
        <v>32</v>
      </c>
      <c r="D219" s="1">
        <v>44876</v>
      </c>
      <c r="E219">
        <v>871</v>
      </c>
      <c r="F219" t="s">
        <v>28</v>
      </c>
      <c r="G219">
        <v>16981</v>
      </c>
      <c r="H219">
        <v>12215</v>
      </c>
      <c r="I219">
        <v>78</v>
      </c>
      <c r="J219">
        <v>108</v>
      </c>
      <c r="K219">
        <v>1833948</v>
      </c>
      <c r="L219">
        <v>308629</v>
      </c>
      <c r="M219">
        <v>1525319</v>
      </c>
      <c r="N219">
        <f t="shared" si="18"/>
        <v>1319220</v>
      </c>
      <c r="O219">
        <f t="shared" si="19"/>
        <v>206099</v>
      </c>
      <c r="P219">
        <f t="shared" si="20"/>
        <v>0.13511862108844117</v>
      </c>
      <c r="Q219">
        <v>3</v>
      </c>
      <c r="R219">
        <v>45846</v>
      </c>
      <c r="S219">
        <f t="shared" si="21"/>
        <v>3.8461538461538464E-2</v>
      </c>
      <c r="T219">
        <v>26</v>
      </c>
      <c r="U219">
        <v>3.5</v>
      </c>
      <c r="V219">
        <v>504964</v>
      </c>
      <c r="W219">
        <v>8071828</v>
      </c>
      <c r="X219">
        <f t="shared" si="22"/>
        <v>15.984957343493793</v>
      </c>
      <c r="Y219" t="str">
        <f t="shared" si="23"/>
        <v>Weak Product</v>
      </c>
    </row>
    <row r="220" spans="1:25" x14ac:dyDescent="0.3">
      <c r="A220" t="s">
        <v>472</v>
      </c>
      <c r="B220" t="s">
        <v>473</v>
      </c>
      <c r="C220" t="s">
        <v>32</v>
      </c>
      <c r="D220" s="1">
        <v>45462</v>
      </c>
      <c r="E220">
        <v>285</v>
      </c>
      <c r="F220" t="s">
        <v>28</v>
      </c>
      <c r="G220">
        <v>17191</v>
      </c>
      <c r="H220">
        <v>14390</v>
      </c>
      <c r="I220">
        <v>25</v>
      </c>
      <c r="J220">
        <v>35</v>
      </c>
      <c r="K220">
        <v>601685</v>
      </c>
      <c r="L220">
        <v>65496</v>
      </c>
      <c r="M220">
        <v>536189</v>
      </c>
      <c r="N220">
        <f t="shared" si="18"/>
        <v>503650</v>
      </c>
      <c r="O220">
        <f t="shared" si="19"/>
        <v>32539</v>
      </c>
      <c r="P220">
        <f t="shared" si="20"/>
        <v>6.0685691052968262E-2</v>
      </c>
      <c r="Q220">
        <v>2</v>
      </c>
      <c r="R220">
        <v>30942</v>
      </c>
      <c r="S220">
        <f t="shared" si="21"/>
        <v>0.08</v>
      </c>
      <c r="T220">
        <v>12</v>
      </c>
      <c r="U220">
        <v>3.17</v>
      </c>
      <c r="V220">
        <v>407438</v>
      </c>
      <c r="W220">
        <v>6234850</v>
      </c>
      <c r="X220">
        <f t="shared" si="22"/>
        <v>15.302573643106436</v>
      </c>
      <c r="Y220" t="str">
        <f t="shared" si="23"/>
        <v>Weak Product</v>
      </c>
    </row>
    <row r="221" spans="1:25" x14ac:dyDescent="0.3">
      <c r="A221" t="s">
        <v>474</v>
      </c>
      <c r="B221" t="s">
        <v>475</v>
      </c>
      <c r="C221" t="s">
        <v>32</v>
      </c>
      <c r="D221" s="1">
        <v>45560</v>
      </c>
      <c r="E221">
        <v>187</v>
      </c>
      <c r="F221" t="s">
        <v>28</v>
      </c>
      <c r="G221">
        <v>17001</v>
      </c>
      <c r="H221">
        <v>11228</v>
      </c>
      <c r="I221">
        <v>64</v>
      </c>
      <c r="J221">
        <v>89</v>
      </c>
      <c r="K221">
        <v>1513089</v>
      </c>
      <c r="L221">
        <v>246549</v>
      </c>
      <c r="M221">
        <v>1266540</v>
      </c>
      <c r="N221">
        <f t="shared" si="18"/>
        <v>999292</v>
      </c>
      <c r="O221">
        <f t="shared" si="19"/>
        <v>267248</v>
      </c>
      <c r="P221">
        <f t="shared" si="20"/>
        <v>0.21100636379427418</v>
      </c>
      <c r="Q221">
        <v>8</v>
      </c>
      <c r="R221">
        <v>122400</v>
      </c>
      <c r="S221">
        <f t="shared" si="21"/>
        <v>0.125</v>
      </c>
      <c r="T221">
        <v>25</v>
      </c>
      <c r="U221">
        <v>3.9</v>
      </c>
      <c r="V221">
        <v>526674</v>
      </c>
      <c r="W221">
        <v>8876260</v>
      </c>
      <c r="X221">
        <f t="shared" si="22"/>
        <v>16.853423559925115</v>
      </c>
      <c r="Y221" t="str">
        <f t="shared" si="23"/>
        <v>Weak Product</v>
      </c>
    </row>
    <row r="222" spans="1:25" x14ac:dyDescent="0.3">
      <c r="A222" t="s">
        <v>476</v>
      </c>
      <c r="B222" t="s">
        <v>477</v>
      </c>
      <c r="C222" t="s">
        <v>32</v>
      </c>
      <c r="D222" s="1">
        <v>45577</v>
      </c>
      <c r="E222">
        <v>170</v>
      </c>
      <c r="F222" t="s">
        <v>28</v>
      </c>
      <c r="G222">
        <v>19425</v>
      </c>
      <c r="H222">
        <v>14793</v>
      </c>
      <c r="I222">
        <v>40</v>
      </c>
      <c r="J222">
        <v>63</v>
      </c>
      <c r="K222">
        <v>1223775</v>
      </c>
      <c r="L222">
        <v>233107</v>
      </c>
      <c r="M222">
        <v>990668</v>
      </c>
      <c r="N222">
        <f t="shared" si="18"/>
        <v>931959</v>
      </c>
      <c r="O222">
        <f t="shared" si="19"/>
        <v>58709</v>
      </c>
      <c r="P222">
        <f t="shared" si="20"/>
        <v>5.9262033294706196E-2</v>
      </c>
      <c r="Q222">
        <v>3</v>
      </c>
      <c r="R222">
        <v>52446</v>
      </c>
      <c r="S222">
        <f t="shared" si="21"/>
        <v>7.4999999999999997E-2</v>
      </c>
      <c r="T222">
        <v>15</v>
      </c>
      <c r="U222">
        <v>3.2</v>
      </c>
      <c r="V222">
        <v>251180</v>
      </c>
      <c r="W222">
        <v>4747445</v>
      </c>
      <c r="X222">
        <f t="shared" si="22"/>
        <v>18.90056931284338</v>
      </c>
      <c r="Y222" t="str">
        <f t="shared" si="23"/>
        <v>Weak Product</v>
      </c>
    </row>
    <row r="223" spans="1:25" x14ac:dyDescent="0.3">
      <c r="A223" t="s">
        <v>478</v>
      </c>
      <c r="B223" t="s">
        <v>479</v>
      </c>
      <c r="C223" t="s">
        <v>32</v>
      </c>
      <c r="D223" s="1">
        <v>44887</v>
      </c>
      <c r="E223">
        <v>860</v>
      </c>
      <c r="F223" t="s">
        <v>28</v>
      </c>
      <c r="G223">
        <v>19226</v>
      </c>
      <c r="H223">
        <v>15334</v>
      </c>
      <c r="I223">
        <v>23</v>
      </c>
      <c r="J223">
        <v>30</v>
      </c>
      <c r="K223">
        <v>576780</v>
      </c>
      <c r="L223">
        <v>121015</v>
      </c>
      <c r="M223">
        <v>455765</v>
      </c>
      <c r="N223">
        <f t="shared" si="18"/>
        <v>460020</v>
      </c>
      <c r="O223">
        <f t="shared" si="19"/>
        <v>-4255</v>
      </c>
      <c r="P223">
        <f t="shared" si="20"/>
        <v>-9.3359516417451972E-3</v>
      </c>
      <c r="Q223">
        <v>0</v>
      </c>
      <c r="R223">
        <v>0</v>
      </c>
      <c r="S223">
        <f t="shared" si="21"/>
        <v>0</v>
      </c>
      <c r="T223">
        <v>15</v>
      </c>
      <c r="U223">
        <v>3.2</v>
      </c>
      <c r="V223">
        <v>545644</v>
      </c>
      <c r="W223">
        <v>10683991</v>
      </c>
      <c r="X223">
        <f t="shared" si="22"/>
        <v>19.580515867488693</v>
      </c>
      <c r="Y223" t="str">
        <f t="shared" si="23"/>
        <v>Weak Product</v>
      </c>
    </row>
    <row r="224" spans="1:25" x14ac:dyDescent="0.3">
      <c r="A224" t="s">
        <v>480</v>
      </c>
      <c r="B224" t="s">
        <v>481</v>
      </c>
      <c r="C224" t="s">
        <v>32</v>
      </c>
      <c r="D224" s="1">
        <v>45083</v>
      </c>
      <c r="E224">
        <v>664</v>
      </c>
      <c r="F224" t="s">
        <v>28</v>
      </c>
      <c r="G224">
        <v>5141</v>
      </c>
      <c r="H224">
        <v>2726</v>
      </c>
      <c r="I224">
        <v>43</v>
      </c>
      <c r="J224">
        <v>63</v>
      </c>
      <c r="K224">
        <v>323883</v>
      </c>
      <c r="L224">
        <v>46635</v>
      </c>
      <c r="M224">
        <v>277248</v>
      </c>
      <c r="N224">
        <f t="shared" si="18"/>
        <v>171738</v>
      </c>
      <c r="O224">
        <f t="shared" si="19"/>
        <v>105510</v>
      </c>
      <c r="P224">
        <f t="shared" si="20"/>
        <v>0.38056180747922436</v>
      </c>
      <c r="Q224">
        <v>4</v>
      </c>
      <c r="R224">
        <v>18504</v>
      </c>
      <c r="S224">
        <f t="shared" si="21"/>
        <v>9.3023255813953487E-2</v>
      </c>
      <c r="T224">
        <v>19</v>
      </c>
      <c r="U224">
        <v>4.13</v>
      </c>
      <c r="V224">
        <v>409668</v>
      </c>
      <c r="W224">
        <v>1993400</v>
      </c>
      <c r="X224">
        <f t="shared" si="22"/>
        <v>4.8658914047472583</v>
      </c>
      <c r="Y224" t="str">
        <f t="shared" si="23"/>
        <v>Weak Product</v>
      </c>
    </row>
    <row r="225" spans="1:25" x14ac:dyDescent="0.3">
      <c r="A225" t="s">
        <v>482</v>
      </c>
      <c r="B225" t="s">
        <v>483</v>
      </c>
      <c r="C225" t="s">
        <v>32</v>
      </c>
      <c r="D225" s="1">
        <v>45043</v>
      </c>
      <c r="E225">
        <v>704</v>
      </c>
      <c r="F225" t="s">
        <v>28</v>
      </c>
      <c r="G225">
        <v>5261</v>
      </c>
      <c r="H225">
        <v>3757</v>
      </c>
      <c r="I225">
        <v>106</v>
      </c>
      <c r="J225">
        <v>153</v>
      </c>
      <c r="K225">
        <v>804933</v>
      </c>
      <c r="L225">
        <v>105554</v>
      </c>
      <c r="M225">
        <v>699379</v>
      </c>
      <c r="N225">
        <f t="shared" si="18"/>
        <v>574821</v>
      </c>
      <c r="O225">
        <f t="shared" si="19"/>
        <v>124558</v>
      </c>
      <c r="P225">
        <f t="shared" si="20"/>
        <v>0.17809799836712284</v>
      </c>
      <c r="Q225">
        <v>7</v>
      </c>
      <c r="R225">
        <v>33138</v>
      </c>
      <c r="S225">
        <f t="shared" si="21"/>
        <v>6.6037735849056603E-2</v>
      </c>
      <c r="T225">
        <v>40</v>
      </c>
      <c r="U225">
        <v>3.75</v>
      </c>
      <c r="V225">
        <v>187587</v>
      </c>
      <c r="W225">
        <v>1868396</v>
      </c>
      <c r="X225">
        <f t="shared" si="22"/>
        <v>9.9601571537473284</v>
      </c>
      <c r="Y225" t="str">
        <f t="shared" si="23"/>
        <v>Weak Product</v>
      </c>
    </row>
    <row r="226" spans="1:25" x14ac:dyDescent="0.3">
      <c r="A226" t="s">
        <v>484</v>
      </c>
      <c r="B226" t="s">
        <v>485</v>
      </c>
      <c r="C226" t="s">
        <v>32</v>
      </c>
      <c r="D226" s="1">
        <v>45167</v>
      </c>
      <c r="E226">
        <v>580</v>
      </c>
      <c r="F226" t="s">
        <v>28</v>
      </c>
      <c r="G226">
        <v>17295</v>
      </c>
      <c r="H226">
        <v>13951</v>
      </c>
      <c r="I226">
        <v>39</v>
      </c>
      <c r="J226">
        <v>62</v>
      </c>
      <c r="K226">
        <v>1072290</v>
      </c>
      <c r="L226">
        <v>114641</v>
      </c>
      <c r="M226">
        <v>957649</v>
      </c>
      <c r="N226">
        <f t="shared" si="18"/>
        <v>864962</v>
      </c>
      <c r="O226">
        <f t="shared" si="19"/>
        <v>92687</v>
      </c>
      <c r="P226">
        <f t="shared" si="20"/>
        <v>9.6785983173375625E-2</v>
      </c>
      <c r="Q226">
        <v>2</v>
      </c>
      <c r="R226">
        <v>31130</v>
      </c>
      <c r="S226">
        <f t="shared" si="21"/>
        <v>5.128205128205128E-2</v>
      </c>
      <c r="T226">
        <v>11</v>
      </c>
      <c r="U226">
        <v>3.09</v>
      </c>
      <c r="V226">
        <v>437254</v>
      </c>
      <c r="W226">
        <v>7345540</v>
      </c>
      <c r="X226">
        <f t="shared" si="22"/>
        <v>16.799251693523672</v>
      </c>
      <c r="Y226" t="str">
        <f t="shared" si="23"/>
        <v>Weak Product</v>
      </c>
    </row>
    <row r="227" spans="1:25" x14ac:dyDescent="0.3">
      <c r="A227" t="s">
        <v>486</v>
      </c>
      <c r="B227" t="s">
        <v>487</v>
      </c>
      <c r="C227" t="s">
        <v>32</v>
      </c>
      <c r="D227" s="1">
        <v>45527</v>
      </c>
      <c r="E227">
        <v>220</v>
      </c>
      <c r="F227" t="s">
        <v>28</v>
      </c>
      <c r="G227">
        <v>11516</v>
      </c>
      <c r="H227">
        <v>7533</v>
      </c>
      <c r="I227">
        <v>71</v>
      </c>
      <c r="J227">
        <v>108</v>
      </c>
      <c r="K227">
        <v>1243728</v>
      </c>
      <c r="L227">
        <v>156047</v>
      </c>
      <c r="M227">
        <v>1087681</v>
      </c>
      <c r="N227">
        <f t="shared" si="18"/>
        <v>813564</v>
      </c>
      <c r="O227">
        <f t="shared" si="19"/>
        <v>274117</v>
      </c>
      <c r="P227">
        <f t="shared" si="20"/>
        <v>0.25201966385364827</v>
      </c>
      <c r="Q227">
        <v>7</v>
      </c>
      <c r="R227">
        <v>72548</v>
      </c>
      <c r="S227">
        <f t="shared" si="21"/>
        <v>9.8591549295774641E-2</v>
      </c>
      <c r="T227">
        <v>28</v>
      </c>
      <c r="U227">
        <v>4</v>
      </c>
      <c r="V227">
        <v>409894</v>
      </c>
      <c r="W227">
        <v>6300346</v>
      </c>
      <c r="X227">
        <f t="shared" si="22"/>
        <v>15.370671441884975</v>
      </c>
      <c r="Y227" t="str">
        <f t="shared" si="23"/>
        <v>Weak Product</v>
      </c>
    </row>
    <row r="228" spans="1:25" x14ac:dyDescent="0.3">
      <c r="A228" t="s">
        <v>488</v>
      </c>
      <c r="B228" t="s">
        <v>489</v>
      </c>
      <c r="C228" t="s">
        <v>32</v>
      </c>
      <c r="D228" s="1">
        <v>45120</v>
      </c>
      <c r="E228">
        <v>627</v>
      </c>
      <c r="F228" t="s">
        <v>28</v>
      </c>
      <c r="G228">
        <v>6599</v>
      </c>
      <c r="H228">
        <v>3096</v>
      </c>
      <c r="I228">
        <v>128</v>
      </c>
      <c r="J228">
        <v>188</v>
      </c>
      <c r="K228">
        <v>1240612</v>
      </c>
      <c r="L228">
        <v>189588</v>
      </c>
      <c r="M228">
        <v>1051024</v>
      </c>
      <c r="N228">
        <f t="shared" si="18"/>
        <v>582048</v>
      </c>
      <c r="O228">
        <f t="shared" si="19"/>
        <v>468976</v>
      </c>
      <c r="P228">
        <f t="shared" si="20"/>
        <v>0.44620864985005099</v>
      </c>
      <c r="Q228">
        <v>15</v>
      </c>
      <c r="R228">
        <v>89085</v>
      </c>
      <c r="S228">
        <f t="shared" si="21"/>
        <v>0.1171875</v>
      </c>
      <c r="T228">
        <v>62</v>
      </c>
      <c r="U228">
        <v>4.4800000000000004</v>
      </c>
      <c r="V228">
        <v>642253</v>
      </c>
      <c r="W228">
        <v>3645216</v>
      </c>
      <c r="X228">
        <f t="shared" si="22"/>
        <v>5.6756698684163407</v>
      </c>
      <c r="Y228" t="str">
        <f t="shared" si="23"/>
        <v>Weak Product</v>
      </c>
    </row>
    <row r="229" spans="1:25" x14ac:dyDescent="0.3">
      <c r="A229" t="s">
        <v>490</v>
      </c>
      <c r="B229" t="s">
        <v>491</v>
      </c>
      <c r="C229" t="s">
        <v>32</v>
      </c>
      <c r="D229" s="1">
        <v>45192</v>
      </c>
      <c r="E229">
        <v>555</v>
      </c>
      <c r="F229" t="s">
        <v>28</v>
      </c>
      <c r="G229">
        <v>16322</v>
      </c>
      <c r="H229">
        <v>12361</v>
      </c>
      <c r="I229">
        <v>72</v>
      </c>
      <c r="J229">
        <v>104</v>
      </c>
      <c r="K229">
        <v>1697488</v>
      </c>
      <c r="L229">
        <v>286036</v>
      </c>
      <c r="M229">
        <v>1411452</v>
      </c>
      <c r="N229">
        <f t="shared" si="18"/>
        <v>1285544</v>
      </c>
      <c r="O229">
        <f t="shared" si="19"/>
        <v>125908</v>
      </c>
      <c r="P229">
        <f t="shared" si="20"/>
        <v>8.9204592150494671E-2</v>
      </c>
      <c r="Q229">
        <v>9</v>
      </c>
      <c r="R229">
        <v>132201</v>
      </c>
      <c r="S229">
        <f t="shared" si="21"/>
        <v>0.125</v>
      </c>
      <c r="T229">
        <v>33</v>
      </c>
      <c r="U229">
        <v>3.35</v>
      </c>
      <c r="V229">
        <v>285384</v>
      </c>
      <c r="W229">
        <v>4466886</v>
      </c>
      <c r="X229">
        <f t="shared" si="22"/>
        <v>15.652194937347574</v>
      </c>
      <c r="Y229" t="str">
        <f t="shared" si="23"/>
        <v>Weak Product</v>
      </c>
    </row>
    <row r="230" spans="1:25" x14ac:dyDescent="0.3">
      <c r="A230" t="s">
        <v>492</v>
      </c>
      <c r="B230" t="s">
        <v>493</v>
      </c>
      <c r="C230" t="s">
        <v>32</v>
      </c>
      <c r="D230" s="1">
        <v>45239</v>
      </c>
      <c r="E230">
        <v>508</v>
      </c>
      <c r="F230" t="s">
        <v>28</v>
      </c>
      <c r="G230">
        <v>12740</v>
      </c>
      <c r="H230">
        <v>6330</v>
      </c>
      <c r="I230">
        <v>83</v>
      </c>
      <c r="J230">
        <v>131</v>
      </c>
      <c r="K230">
        <v>1668940</v>
      </c>
      <c r="L230">
        <v>196315</v>
      </c>
      <c r="M230">
        <v>1472625</v>
      </c>
      <c r="N230">
        <f t="shared" si="18"/>
        <v>829230</v>
      </c>
      <c r="O230">
        <f t="shared" si="19"/>
        <v>643395</v>
      </c>
      <c r="P230">
        <f t="shared" si="20"/>
        <v>0.43690348866819456</v>
      </c>
      <c r="Q230">
        <v>4</v>
      </c>
      <c r="R230">
        <v>45864</v>
      </c>
      <c r="S230">
        <f t="shared" si="21"/>
        <v>4.8192771084337352E-2</v>
      </c>
      <c r="T230">
        <v>34</v>
      </c>
      <c r="U230">
        <v>4.46</v>
      </c>
      <c r="V230">
        <v>533130</v>
      </c>
      <c r="W230">
        <v>11781532</v>
      </c>
      <c r="X230">
        <f t="shared" si="22"/>
        <v>22.098797666610395</v>
      </c>
      <c r="Y230" t="str">
        <f t="shared" si="23"/>
        <v>Star</v>
      </c>
    </row>
    <row r="231" spans="1:25" x14ac:dyDescent="0.3">
      <c r="A231" t="s">
        <v>494</v>
      </c>
      <c r="B231" t="s">
        <v>495</v>
      </c>
      <c r="C231" t="s">
        <v>32</v>
      </c>
      <c r="D231" s="1">
        <v>45506</v>
      </c>
      <c r="E231">
        <v>241</v>
      </c>
      <c r="F231" t="s">
        <v>28</v>
      </c>
      <c r="G231">
        <v>11648</v>
      </c>
      <c r="H231">
        <v>5639</v>
      </c>
      <c r="I231">
        <v>38</v>
      </c>
      <c r="J231">
        <v>54</v>
      </c>
      <c r="K231">
        <v>628992</v>
      </c>
      <c r="L231">
        <v>90320</v>
      </c>
      <c r="M231">
        <v>538672</v>
      </c>
      <c r="N231">
        <f t="shared" si="18"/>
        <v>304506</v>
      </c>
      <c r="O231">
        <f t="shared" si="19"/>
        <v>234166</v>
      </c>
      <c r="P231">
        <f t="shared" si="20"/>
        <v>0.43470980485341731</v>
      </c>
      <c r="Q231">
        <v>4</v>
      </c>
      <c r="R231">
        <v>41932</v>
      </c>
      <c r="S231">
        <f t="shared" si="21"/>
        <v>0.10526315789473684</v>
      </c>
      <c r="T231">
        <v>15</v>
      </c>
      <c r="U231">
        <v>4.4000000000000004</v>
      </c>
      <c r="V231">
        <v>688896</v>
      </c>
      <c r="W231">
        <v>11907080</v>
      </c>
      <c r="X231">
        <f t="shared" si="22"/>
        <v>17.284292549238202</v>
      </c>
      <c r="Y231" t="str">
        <f t="shared" si="23"/>
        <v>Weak Product</v>
      </c>
    </row>
    <row r="232" spans="1:25" x14ac:dyDescent="0.3">
      <c r="A232" t="s">
        <v>496</v>
      </c>
      <c r="B232" t="s">
        <v>497</v>
      </c>
      <c r="C232" t="s">
        <v>32</v>
      </c>
      <c r="D232" s="1">
        <v>45465</v>
      </c>
      <c r="E232">
        <v>282</v>
      </c>
      <c r="F232" t="s">
        <v>28</v>
      </c>
      <c r="G232">
        <v>9199</v>
      </c>
      <c r="H232">
        <v>7710</v>
      </c>
      <c r="I232">
        <v>118</v>
      </c>
      <c r="J232">
        <v>180</v>
      </c>
      <c r="K232">
        <v>1655820</v>
      </c>
      <c r="L232">
        <v>300865</v>
      </c>
      <c r="M232">
        <v>1354955</v>
      </c>
      <c r="N232">
        <f t="shared" si="18"/>
        <v>1387800</v>
      </c>
      <c r="O232">
        <f t="shared" si="19"/>
        <v>-32845</v>
      </c>
      <c r="P232">
        <f t="shared" si="20"/>
        <v>-2.424065743880793E-2</v>
      </c>
      <c r="Q232">
        <v>14</v>
      </c>
      <c r="R232">
        <v>115906</v>
      </c>
      <c r="S232">
        <f t="shared" si="21"/>
        <v>0.11864406779661017</v>
      </c>
      <c r="T232">
        <v>49</v>
      </c>
      <c r="U232">
        <v>3.03</v>
      </c>
      <c r="V232">
        <v>372393</v>
      </c>
      <c r="W232">
        <v>5515041</v>
      </c>
      <c r="X232">
        <f t="shared" si="22"/>
        <v>14.809733265662889</v>
      </c>
      <c r="Y232" t="str">
        <f t="shared" si="23"/>
        <v>Weak Product</v>
      </c>
    </row>
    <row r="233" spans="1:25" x14ac:dyDescent="0.3">
      <c r="A233" t="s">
        <v>498</v>
      </c>
      <c r="B233" t="s">
        <v>499</v>
      </c>
      <c r="C233" t="s">
        <v>32</v>
      </c>
      <c r="D233" s="1">
        <v>45569</v>
      </c>
      <c r="E233">
        <v>178</v>
      </c>
      <c r="F233" t="s">
        <v>28</v>
      </c>
      <c r="G233">
        <v>3582</v>
      </c>
      <c r="H233">
        <v>2557</v>
      </c>
      <c r="I233">
        <v>142</v>
      </c>
      <c r="J233">
        <v>197</v>
      </c>
      <c r="K233">
        <v>705654</v>
      </c>
      <c r="L233">
        <v>134501</v>
      </c>
      <c r="M233">
        <v>571153</v>
      </c>
      <c r="N233">
        <f t="shared" si="18"/>
        <v>503729</v>
      </c>
      <c r="O233">
        <f t="shared" si="19"/>
        <v>67424</v>
      </c>
      <c r="P233">
        <f t="shared" si="20"/>
        <v>0.11804892909605658</v>
      </c>
      <c r="Q233">
        <v>2</v>
      </c>
      <c r="R233">
        <v>6446</v>
      </c>
      <c r="S233">
        <f t="shared" si="21"/>
        <v>1.4084507042253521E-2</v>
      </c>
      <c r="T233">
        <v>58</v>
      </c>
      <c r="U233">
        <v>3.72</v>
      </c>
      <c r="V233">
        <v>146393</v>
      </c>
      <c r="W233">
        <v>642553</v>
      </c>
      <c r="X233">
        <f t="shared" si="22"/>
        <v>4.3892330917461901</v>
      </c>
      <c r="Y233" t="str">
        <f t="shared" si="23"/>
        <v>Weak Product</v>
      </c>
    </row>
    <row r="234" spans="1:25" x14ac:dyDescent="0.3">
      <c r="A234" t="s">
        <v>500</v>
      </c>
      <c r="B234" t="s">
        <v>501</v>
      </c>
      <c r="C234" t="s">
        <v>32</v>
      </c>
      <c r="D234" s="1">
        <v>45322</v>
      </c>
      <c r="E234">
        <v>425</v>
      </c>
      <c r="F234" t="s">
        <v>28</v>
      </c>
      <c r="G234">
        <v>13632</v>
      </c>
      <c r="H234">
        <v>8263</v>
      </c>
      <c r="I234">
        <v>78</v>
      </c>
      <c r="J234">
        <v>120</v>
      </c>
      <c r="K234">
        <v>1635840</v>
      </c>
      <c r="L234">
        <v>282963</v>
      </c>
      <c r="M234">
        <v>1352877</v>
      </c>
      <c r="N234">
        <f t="shared" si="18"/>
        <v>991560</v>
      </c>
      <c r="O234">
        <f t="shared" si="19"/>
        <v>361317</v>
      </c>
      <c r="P234">
        <f t="shared" si="20"/>
        <v>0.26707305985688279</v>
      </c>
      <c r="Q234">
        <v>1</v>
      </c>
      <c r="R234">
        <v>12268</v>
      </c>
      <c r="S234">
        <f t="shared" si="21"/>
        <v>1.282051282051282E-2</v>
      </c>
      <c r="T234">
        <v>36</v>
      </c>
      <c r="U234">
        <v>4.1500000000000004</v>
      </c>
      <c r="V234">
        <v>255163</v>
      </c>
      <c r="W234">
        <v>4476584</v>
      </c>
      <c r="X234">
        <f t="shared" si="22"/>
        <v>17.544016961706831</v>
      </c>
      <c r="Y234" t="str">
        <f t="shared" si="23"/>
        <v>Star</v>
      </c>
    </row>
    <row r="235" spans="1:25" x14ac:dyDescent="0.3">
      <c r="A235" t="s">
        <v>502</v>
      </c>
      <c r="B235" t="s">
        <v>503</v>
      </c>
      <c r="C235" t="s">
        <v>32</v>
      </c>
      <c r="D235" s="1">
        <v>45072</v>
      </c>
      <c r="E235">
        <v>675</v>
      </c>
      <c r="F235" t="s">
        <v>28</v>
      </c>
      <c r="G235">
        <v>3230</v>
      </c>
      <c r="H235">
        <v>1958</v>
      </c>
      <c r="I235">
        <v>70</v>
      </c>
      <c r="J235">
        <v>99</v>
      </c>
      <c r="K235">
        <v>319770</v>
      </c>
      <c r="L235">
        <v>63988</v>
      </c>
      <c r="M235">
        <v>255782</v>
      </c>
      <c r="N235">
        <f t="shared" si="18"/>
        <v>193842</v>
      </c>
      <c r="O235">
        <f t="shared" si="19"/>
        <v>61940</v>
      </c>
      <c r="P235">
        <f t="shared" si="20"/>
        <v>0.24215933881195706</v>
      </c>
      <c r="Q235">
        <v>3</v>
      </c>
      <c r="R235">
        <v>8721</v>
      </c>
      <c r="S235">
        <f t="shared" si="21"/>
        <v>4.2857142857142858E-2</v>
      </c>
      <c r="T235">
        <v>19</v>
      </c>
      <c r="U235">
        <v>4.05</v>
      </c>
      <c r="V235">
        <v>435039</v>
      </c>
      <c r="W235">
        <v>2073599</v>
      </c>
      <c r="X235">
        <f t="shared" si="22"/>
        <v>4.7664669144605423</v>
      </c>
      <c r="Y235" t="str">
        <f t="shared" si="23"/>
        <v>Star</v>
      </c>
    </row>
    <row r="236" spans="1:25" x14ac:dyDescent="0.3">
      <c r="A236" t="s">
        <v>504</v>
      </c>
      <c r="B236" t="s">
        <v>505</v>
      </c>
      <c r="C236" t="s">
        <v>32</v>
      </c>
      <c r="D236" s="1">
        <v>45241</v>
      </c>
      <c r="E236">
        <v>506</v>
      </c>
      <c r="F236" t="s">
        <v>28</v>
      </c>
      <c r="G236">
        <v>1489</v>
      </c>
      <c r="H236">
        <v>671</v>
      </c>
      <c r="I236">
        <v>151</v>
      </c>
      <c r="J236">
        <v>238</v>
      </c>
      <c r="K236">
        <v>354382</v>
      </c>
      <c r="L236">
        <v>48132</v>
      </c>
      <c r="M236">
        <v>306250</v>
      </c>
      <c r="N236">
        <f t="shared" si="18"/>
        <v>159698</v>
      </c>
      <c r="O236">
        <f t="shared" si="19"/>
        <v>146552</v>
      </c>
      <c r="P236">
        <f t="shared" si="20"/>
        <v>0.47853714285714288</v>
      </c>
      <c r="Q236">
        <v>4</v>
      </c>
      <c r="R236">
        <v>5360</v>
      </c>
      <c r="S236">
        <f t="shared" si="21"/>
        <v>2.6490066225165563E-2</v>
      </c>
      <c r="T236">
        <v>65</v>
      </c>
      <c r="U236">
        <v>4.41</v>
      </c>
      <c r="V236">
        <v>203859</v>
      </c>
      <c r="W236">
        <v>216829</v>
      </c>
      <c r="X236">
        <f t="shared" si="22"/>
        <v>1.0636224056823589</v>
      </c>
      <c r="Y236" t="str">
        <f t="shared" si="23"/>
        <v>Star</v>
      </c>
    </row>
    <row r="237" spans="1:25" x14ac:dyDescent="0.3">
      <c r="A237" t="s">
        <v>506</v>
      </c>
      <c r="B237" t="s">
        <v>507</v>
      </c>
      <c r="C237" t="s">
        <v>32</v>
      </c>
      <c r="D237" s="1">
        <v>44944</v>
      </c>
      <c r="E237">
        <v>803</v>
      </c>
      <c r="F237" t="s">
        <v>28</v>
      </c>
      <c r="G237">
        <v>10076</v>
      </c>
      <c r="H237">
        <v>6493</v>
      </c>
      <c r="I237">
        <v>52</v>
      </c>
      <c r="J237">
        <v>78</v>
      </c>
      <c r="K237">
        <v>785928</v>
      </c>
      <c r="L237">
        <v>104906</v>
      </c>
      <c r="M237">
        <v>681022</v>
      </c>
      <c r="N237">
        <f t="shared" si="18"/>
        <v>506454</v>
      </c>
      <c r="O237">
        <f t="shared" si="19"/>
        <v>174568</v>
      </c>
      <c r="P237">
        <f t="shared" si="20"/>
        <v>0.25633239454819373</v>
      </c>
      <c r="Q237">
        <v>4</v>
      </c>
      <c r="R237">
        <v>36272</v>
      </c>
      <c r="S237">
        <f t="shared" si="21"/>
        <v>7.6923076923076927E-2</v>
      </c>
      <c r="T237">
        <v>22</v>
      </c>
      <c r="U237">
        <v>3.89</v>
      </c>
      <c r="V237">
        <v>529316</v>
      </c>
      <c r="W237">
        <v>7013245</v>
      </c>
      <c r="X237">
        <f t="shared" si="22"/>
        <v>13.249637267719095</v>
      </c>
      <c r="Y237" t="str">
        <f t="shared" si="23"/>
        <v>Weak Product</v>
      </c>
    </row>
    <row r="238" spans="1:25" x14ac:dyDescent="0.3">
      <c r="A238" t="s">
        <v>508</v>
      </c>
      <c r="B238" t="s">
        <v>509</v>
      </c>
      <c r="C238" t="s">
        <v>32</v>
      </c>
      <c r="D238" s="1">
        <v>45314</v>
      </c>
      <c r="E238">
        <v>433</v>
      </c>
      <c r="F238" t="s">
        <v>28</v>
      </c>
      <c r="G238">
        <v>4696</v>
      </c>
      <c r="H238">
        <v>2427</v>
      </c>
      <c r="I238">
        <v>75</v>
      </c>
      <c r="J238">
        <v>120</v>
      </c>
      <c r="K238">
        <v>563520</v>
      </c>
      <c r="L238">
        <v>103267</v>
      </c>
      <c r="M238">
        <v>460253</v>
      </c>
      <c r="N238">
        <f t="shared" si="18"/>
        <v>291240</v>
      </c>
      <c r="O238">
        <f t="shared" si="19"/>
        <v>169013</v>
      </c>
      <c r="P238">
        <f t="shared" si="20"/>
        <v>0.3672175955398444</v>
      </c>
      <c r="Q238">
        <v>8</v>
      </c>
      <c r="R238">
        <v>33808</v>
      </c>
      <c r="S238">
        <f t="shared" si="21"/>
        <v>0.10666666666666667</v>
      </c>
      <c r="T238">
        <v>30</v>
      </c>
      <c r="U238">
        <v>4.4800000000000004</v>
      </c>
      <c r="V238">
        <v>524449</v>
      </c>
      <c r="W238">
        <v>2691370</v>
      </c>
      <c r="X238">
        <f t="shared" si="22"/>
        <v>5.1318049991514902</v>
      </c>
      <c r="Y238" t="str">
        <f t="shared" si="23"/>
        <v>Weak Product</v>
      </c>
    </row>
    <row r="239" spans="1:25" x14ac:dyDescent="0.3">
      <c r="A239" t="s">
        <v>510</v>
      </c>
      <c r="B239" t="s">
        <v>511</v>
      </c>
      <c r="C239" t="s">
        <v>32</v>
      </c>
      <c r="D239" s="1">
        <v>45180</v>
      </c>
      <c r="E239">
        <v>567</v>
      </c>
      <c r="F239" t="s">
        <v>28</v>
      </c>
      <c r="G239">
        <v>6400</v>
      </c>
      <c r="H239">
        <v>5719</v>
      </c>
      <c r="I239">
        <v>50</v>
      </c>
      <c r="J239">
        <v>73</v>
      </c>
      <c r="K239">
        <v>467200</v>
      </c>
      <c r="L239">
        <v>52171</v>
      </c>
      <c r="M239">
        <v>415029</v>
      </c>
      <c r="N239">
        <f t="shared" si="18"/>
        <v>417487</v>
      </c>
      <c r="O239">
        <f t="shared" si="19"/>
        <v>-2458</v>
      </c>
      <c r="P239">
        <f t="shared" si="20"/>
        <v>-5.9224777063771449E-3</v>
      </c>
      <c r="Q239">
        <v>4</v>
      </c>
      <c r="R239">
        <v>23040</v>
      </c>
      <c r="S239">
        <f t="shared" si="21"/>
        <v>0.08</v>
      </c>
      <c r="T239">
        <v>28</v>
      </c>
      <c r="U239">
        <v>3.11</v>
      </c>
      <c r="V239">
        <v>324920</v>
      </c>
      <c r="W239">
        <v>3025322</v>
      </c>
      <c r="X239">
        <f t="shared" si="22"/>
        <v>9.3109750092330419</v>
      </c>
      <c r="Y239" t="str">
        <f t="shared" si="23"/>
        <v>Weak Product</v>
      </c>
    </row>
    <row r="240" spans="1:25" x14ac:dyDescent="0.3">
      <c r="A240" t="s">
        <v>512</v>
      </c>
      <c r="B240" t="s">
        <v>513</v>
      </c>
      <c r="C240" t="s">
        <v>32</v>
      </c>
      <c r="D240" s="1">
        <v>44923</v>
      </c>
      <c r="E240">
        <v>824</v>
      </c>
      <c r="F240" t="s">
        <v>28</v>
      </c>
      <c r="G240">
        <v>14313</v>
      </c>
      <c r="H240">
        <v>9562</v>
      </c>
      <c r="I240">
        <v>94</v>
      </c>
      <c r="J240">
        <v>142</v>
      </c>
      <c r="K240">
        <v>2032446</v>
      </c>
      <c r="L240">
        <v>255908</v>
      </c>
      <c r="M240">
        <v>1776538</v>
      </c>
      <c r="N240">
        <f t="shared" si="18"/>
        <v>1357804</v>
      </c>
      <c r="O240">
        <f t="shared" si="19"/>
        <v>418734</v>
      </c>
      <c r="P240">
        <f t="shared" si="20"/>
        <v>0.23570224785509794</v>
      </c>
      <c r="Q240">
        <v>11</v>
      </c>
      <c r="R240">
        <v>141691</v>
      </c>
      <c r="S240">
        <f t="shared" si="21"/>
        <v>0.11702127659574468</v>
      </c>
      <c r="T240">
        <v>41</v>
      </c>
      <c r="U240">
        <v>3.78</v>
      </c>
      <c r="V240">
        <v>338705</v>
      </c>
      <c r="W240">
        <v>5622623</v>
      </c>
      <c r="X240">
        <f t="shared" si="22"/>
        <v>16.60035429060687</v>
      </c>
      <c r="Y240" t="str">
        <f t="shared" si="23"/>
        <v>Weak Product</v>
      </c>
    </row>
    <row r="241" spans="1:25" x14ac:dyDescent="0.3">
      <c r="A241" t="s">
        <v>514</v>
      </c>
      <c r="B241" t="s">
        <v>515</v>
      </c>
      <c r="C241" t="s">
        <v>32</v>
      </c>
      <c r="D241" s="1">
        <v>45076</v>
      </c>
      <c r="E241">
        <v>671</v>
      </c>
      <c r="F241" t="s">
        <v>28</v>
      </c>
      <c r="G241">
        <v>522</v>
      </c>
      <c r="H241">
        <v>408</v>
      </c>
      <c r="I241">
        <v>409</v>
      </c>
      <c r="J241">
        <v>625</v>
      </c>
      <c r="K241">
        <v>326250</v>
      </c>
      <c r="L241">
        <v>53263</v>
      </c>
      <c r="M241">
        <v>272987</v>
      </c>
      <c r="N241">
        <f t="shared" si="18"/>
        <v>255000</v>
      </c>
      <c r="O241">
        <f t="shared" si="19"/>
        <v>17987</v>
      </c>
      <c r="P241">
        <f t="shared" si="20"/>
        <v>6.5889584485708114E-2</v>
      </c>
      <c r="Q241">
        <v>35</v>
      </c>
      <c r="R241">
        <v>16415</v>
      </c>
      <c r="S241">
        <f t="shared" si="21"/>
        <v>8.557457212713937E-2</v>
      </c>
      <c r="T241">
        <v>162</v>
      </c>
      <c r="U241">
        <v>3.31</v>
      </c>
      <c r="V241">
        <v>565118</v>
      </c>
      <c r="W241">
        <v>322993</v>
      </c>
      <c r="X241">
        <f t="shared" si="22"/>
        <v>0.57154965865536045</v>
      </c>
      <c r="Y241" t="str">
        <f t="shared" si="23"/>
        <v>Weak Product</v>
      </c>
    </row>
    <row r="242" spans="1:25" x14ac:dyDescent="0.3">
      <c r="A242" t="s">
        <v>516</v>
      </c>
      <c r="B242" t="s">
        <v>517</v>
      </c>
      <c r="C242" t="s">
        <v>32</v>
      </c>
      <c r="D242" s="1">
        <v>45544</v>
      </c>
      <c r="E242">
        <v>203</v>
      </c>
      <c r="F242" t="s">
        <v>28</v>
      </c>
      <c r="G242">
        <v>8869</v>
      </c>
      <c r="H242">
        <v>5373</v>
      </c>
      <c r="I242">
        <v>50</v>
      </c>
      <c r="J242">
        <v>80</v>
      </c>
      <c r="K242">
        <v>709520</v>
      </c>
      <c r="L242">
        <v>125065</v>
      </c>
      <c r="M242">
        <v>584455</v>
      </c>
      <c r="N242">
        <f t="shared" si="18"/>
        <v>429840</v>
      </c>
      <c r="O242">
        <f t="shared" si="19"/>
        <v>154615</v>
      </c>
      <c r="P242">
        <f t="shared" si="20"/>
        <v>0.26454560231326618</v>
      </c>
      <c r="Q242">
        <v>3</v>
      </c>
      <c r="R242">
        <v>23946</v>
      </c>
      <c r="S242">
        <f t="shared" si="21"/>
        <v>0.06</v>
      </c>
      <c r="T242">
        <v>23</v>
      </c>
      <c r="U242">
        <v>4.04</v>
      </c>
      <c r="V242">
        <v>682014</v>
      </c>
      <c r="W242">
        <v>6562916</v>
      </c>
      <c r="X242">
        <f t="shared" si="22"/>
        <v>9.6228464518323662</v>
      </c>
      <c r="Y242" t="str">
        <f t="shared" si="23"/>
        <v>Weak Product</v>
      </c>
    </row>
    <row r="243" spans="1:25" x14ac:dyDescent="0.3">
      <c r="A243" t="s">
        <v>518</v>
      </c>
      <c r="B243" t="s">
        <v>519</v>
      </c>
      <c r="C243" t="s">
        <v>32</v>
      </c>
      <c r="D243" s="1">
        <v>45489</v>
      </c>
      <c r="E243">
        <v>258</v>
      </c>
      <c r="F243" t="s">
        <v>28</v>
      </c>
      <c r="G243">
        <v>10489</v>
      </c>
      <c r="H243">
        <v>6181</v>
      </c>
      <c r="I243">
        <v>87</v>
      </c>
      <c r="J243">
        <v>130</v>
      </c>
      <c r="K243">
        <v>1363570</v>
      </c>
      <c r="L243">
        <v>232591</v>
      </c>
      <c r="M243">
        <v>1130979</v>
      </c>
      <c r="N243">
        <f t="shared" si="18"/>
        <v>803530</v>
      </c>
      <c r="O243">
        <f t="shared" si="19"/>
        <v>327449</v>
      </c>
      <c r="P243">
        <f t="shared" si="20"/>
        <v>0.28952703807939845</v>
      </c>
      <c r="Q243">
        <v>7</v>
      </c>
      <c r="R243">
        <v>66080</v>
      </c>
      <c r="S243">
        <f t="shared" si="21"/>
        <v>8.0459770114942528E-2</v>
      </c>
      <c r="T243">
        <v>29</v>
      </c>
      <c r="U243">
        <v>4.22</v>
      </c>
      <c r="V243">
        <v>108240</v>
      </c>
      <c r="W243">
        <v>1972625</v>
      </c>
      <c r="X243">
        <f t="shared" si="22"/>
        <v>18.224547302291203</v>
      </c>
      <c r="Y243" t="str">
        <f t="shared" si="23"/>
        <v>Weak Product</v>
      </c>
    </row>
    <row r="244" spans="1:25" x14ac:dyDescent="0.3">
      <c r="A244" t="s">
        <v>520</v>
      </c>
      <c r="B244" t="s">
        <v>521</v>
      </c>
      <c r="C244" t="s">
        <v>32</v>
      </c>
      <c r="D244" s="1">
        <v>45455</v>
      </c>
      <c r="E244">
        <v>292</v>
      </c>
      <c r="F244" t="s">
        <v>28</v>
      </c>
      <c r="G244">
        <v>5318</v>
      </c>
      <c r="H244">
        <v>3697</v>
      </c>
      <c r="I244">
        <v>106</v>
      </c>
      <c r="J244">
        <v>149</v>
      </c>
      <c r="K244">
        <v>792382</v>
      </c>
      <c r="L244">
        <v>137049</v>
      </c>
      <c r="M244">
        <v>655333</v>
      </c>
      <c r="N244">
        <f t="shared" si="18"/>
        <v>550853</v>
      </c>
      <c r="O244">
        <f t="shared" si="19"/>
        <v>104480</v>
      </c>
      <c r="P244">
        <f t="shared" si="20"/>
        <v>0.15943039645493207</v>
      </c>
      <c r="Q244">
        <v>6</v>
      </c>
      <c r="R244">
        <v>28716</v>
      </c>
      <c r="S244">
        <f t="shared" si="21"/>
        <v>5.6603773584905662E-2</v>
      </c>
      <c r="T244">
        <v>40</v>
      </c>
      <c r="U244">
        <v>3.48</v>
      </c>
      <c r="V244">
        <v>396660</v>
      </c>
      <c r="W244">
        <v>2216034</v>
      </c>
      <c r="X244">
        <f t="shared" si="22"/>
        <v>5.5867342308274086</v>
      </c>
      <c r="Y244" t="str">
        <f t="shared" si="23"/>
        <v>Weak Product</v>
      </c>
    </row>
    <row r="245" spans="1:25" x14ac:dyDescent="0.3">
      <c r="A245" t="s">
        <v>522</v>
      </c>
      <c r="B245" t="s">
        <v>523</v>
      </c>
      <c r="C245" t="s">
        <v>32</v>
      </c>
      <c r="D245" s="1">
        <v>45445</v>
      </c>
      <c r="E245">
        <v>302</v>
      </c>
      <c r="F245" t="s">
        <v>28</v>
      </c>
      <c r="G245">
        <v>8407</v>
      </c>
      <c r="H245">
        <v>4992</v>
      </c>
      <c r="I245">
        <v>80</v>
      </c>
      <c r="J245">
        <v>121</v>
      </c>
      <c r="K245">
        <v>1017247</v>
      </c>
      <c r="L245">
        <v>129426</v>
      </c>
      <c r="M245">
        <v>887821</v>
      </c>
      <c r="N245">
        <f t="shared" si="18"/>
        <v>604032</v>
      </c>
      <c r="O245">
        <f t="shared" si="19"/>
        <v>283789</v>
      </c>
      <c r="P245">
        <f t="shared" si="20"/>
        <v>0.31964664048270991</v>
      </c>
      <c r="Q245">
        <v>3</v>
      </c>
      <c r="R245">
        <v>22698</v>
      </c>
      <c r="S245">
        <f t="shared" si="21"/>
        <v>3.7499999999999999E-2</v>
      </c>
      <c r="T245">
        <v>35</v>
      </c>
      <c r="U245">
        <v>4.04</v>
      </c>
      <c r="V245">
        <v>164508</v>
      </c>
      <c r="W245">
        <v>1282042</v>
      </c>
      <c r="X245">
        <f t="shared" si="22"/>
        <v>7.7931893889658861</v>
      </c>
      <c r="Y245" t="str">
        <f t="shared" si="23"/>
        <v>Star</v>
      </c>
    </row>
    <row r="246" spans="1:25" x14ac:dyDescent="0.3">
      <c r="A246" t="s">
        <v>524</v>
      </c>
      <c r="B246" t="s">
        <v>525</v>
      </c>
      <c r="C246" t="s">
        <v>32</v>
      </c>
      <c r="D246" s="1">
        <v>45395</v>
      </c>
      <c r="E246">
        <v>352</v>
      </c>
      <c r="F246" t="s">
        <v>28</v>
      </c>
      <c r="G246">
        <v>3975</v>
      </c>
      <c r="H246">
        <v>3467</v>
      </c>
      <c r="I246">
        <v>144</v>
      </c>
      <c r="J246">
        <v>219</v>
      </c>
      <c r="K246">
        <v>870525</v>
      </c>
      <c r="L246">
        <v>106459</v>
      </c>
      <c r="M246">
        <v>764066</v>
      </c>
      <c r="N246">
        <f t="shared" si="18"/>
        <v>759273</v>
      </c>
      <c r="O246">
        <f t="shared" si="19"/>
        <v>4793</v>
      </c>
      <c r="P246">
        <f t="shared" si="20"/>
        <v>6.2730182994662764E-3</v>
      </c>
      <c r="Q246">
        <v>5</v>
      </c>
      <c r="R246">
        <v>17885</v>
      </c>
      <c r="S246">
        <f t="shared" si="21"/>
        <v>3.4722222222222224E-2</v>
      </c>
      <c r="T246">
        <v>65</v>
      </c>
      <c r="U246">
        <v>3.12</v>
      </c>
      <c r="V246">
        <v>389069</v>
      </c>
      <c r="W246">
        <v>2641608</v>
      </c>
      <c r="X246">
        <f t="shared" si="22"/>
        <v>6.7895617486872508</v>
      </c>
      <c r="Y246" t="str">
        <f t="shared" si="23"/>
        <v>Weak Product</v>
      </c>
    </row>
    <row r="247" spans="1:25" x14ac:dyDescent="0.3">
      <c r="A247" t="s">
        <v>526</v>
      </c>
      <c r="B247" t="s">
        <v>527</v>
      </c>
      <c r="C247" t="s">
        <v>32</v>
      </c>
      <c r="D247" s="1">
        <v>45045</v>
      </c>
      <c r="E247">
        <v>702</v>
      </c>
      <c r="F247" t="s">
        <v>28</v>
      </c>
      <c r="G247">
        <v>14777</v>
      </c>
      <c r="H247">
        <v>12526</v>
      </c>
      <c r="I247">
        <v>44</v>
      </c>
      <c r="J247">
        <v>66</v>
      </c>
      <c r="K247">
        <v>975282</v>
      </c>
      <c r="L247">
        <v>114525</v>
      </c>
      <c r="M247">
        <v>860757</v>
      </c>
      <c r="N247">
        <f t="shared" si="18"/>
        <v>826716</v>
      </c>
      <c r="O247">
        <f t="shared" si="19"/>
        <v>34041</v>
      </c>
      <c r="P247">
        <f t="shared" si="20"/>
        <v>3.9547746925090353E-2</v>
      </c>
      <c r="Q247">
        <v>3</v>
      </c>
      <c r="R247">
        <v>39897</v>
      </c>
      <c r="S247">
        <f t="shared" si="21"/>
        <v>6.8181818181818177E-2</v>
      </c>
      <c r="T247">
        <v>18</v>
      </c>
      <c r="U247">
        <v>2.78</v>
      </c>
      <c r="V247">
        <v>688270</v>
      </c>
      <c r="W247">
        <v>11363905</v>
      </c>
      <c r="X247">
        <f t="shared" si="22"/>
        <v>16.510824240487018</v>
      </c>
      <c r="Y247" t="str">
        <f t="shared" si="23"/>
        <v>Weak Product</v>
      </c>
    </row>
    <row r="248" spans="1:25" x14ac:dyDescent="0.3">
      <c r="A248" t="s">
        <v>528</v>
      </c>
      <c r="B248" t="s">
        <v>529</v>
      </c>
      <c r="C248" t="s">
        <v>32</v>
      </c>
      <c r="D248" s="1">
        <v>45302</v>
      </c>
      <c r="E248">
        <v>445</v>
      </c>
      <c r="F248" t="s">
        <v>28</v>
      </c>
      <c r="G248">
        <v>4622</v>
      </c>
      <c r="H248">
        <v>3092</v>
      </c>
      <c r="I248">
        <v>137</v>
      </c>
      <c r="J248">
        <v>205</v>
      </c>
      <c r="K248">
        <v>947510</v>
      </c>
      <c r="L248">
        <v>124025</v>
      </c>
      <c r="M248">
        <v>823485</v>
      </c>
      <c r="N248">
        <f t="shared" si="18"/>
        <v>633860</v>
      </c>
      <c r="O248">
        <f t="shared" si="19"/>
        <v>189625</v>
      </c>
      <c r="P248">
        <f t="shared" si="20"/>
        <v>0.23027134677620115</v>
      </c>
      <c r="Q248">
        <v>9</v>
      </c>
      <c r="R248">
        <v>37431</v>
      </c>
      <c r="S248">
        <f t="shared" si="21"/>
        <v>6.569343065693431E-2</v>
      </c>
      <c r="T248">
        <v>56</v>
      </c>
      <c r="U248">
        <v>3.73</v>
      </c>
      <c r="V248">
        <v>187450</v>
      </c>
      <c r="W248">
        <v>568836</v>
      </c>
      <c r="X248">
        <f t="shared" si="22"/>
        <v>3.0346012269938649</v>
      </c>
      <c r="Y248" t="str">
        <f t="shared" si="23"/>
        <v>Weak Product</v>
      </c>
    </row>
    <row r="249" spans="1:25" x14ac:dyDescent="0.3">
      <c r="A249" t="s">
        <v>530</v>
      </c>
      <c r="B249" t="s">
        <v>531</v>
      </c>
      <c r="C249" t="s">
        <v>32</v>
      </c>
      <c r="D249" s="1">
        <v>45598</v>
      </c>
      <c r="E249">
        <v>149</v>
      </c>
      <c r="F249" t="s">
        <v>28</v>
      </c>
      <c r="G249">
        <v>8637</v>
      </c>
      <c r="H249">
        <v>4600</v>
      </c>
      <c r="I249">
        <v>41</v>
      </c>
      <c r="J249">
        <v>61</v>
      </c>
      <c r="K249">
        <v>526857</v>
      </c>
      <c r="L249">
        <v>91106</v>
      </c>
      <c r="M249">
        <v>435751</v>
      </c>
      <c r="N249">
        <f t="shared" si="18"/>
        <v>280600</v>
      </c>
      <c r="O249">
        <f t="shared" si="19"/>
        <v>155151</v>
      </c>
      <c r="P249">
        <f t="shared" si="20"/>
        <v>0.35605426034593152</v>
      </c>
      <c r="Q249">
        <v>2</v>
      </c>
      <c r="R249">
        <v>15546</v>
      </c>
      <c r="S249">
        <f t="shared" si="21"/>
        <v>4.878048780487805E-2</v>
      </c>
      <c r="T249">
        <v>18</v>
      </c>
      <c r="U249">
        <v>4.42</v>
      </c>
      <c r="V249">
        <v>31786</v>
      </c>
      <c r="W249">
        <v>1130439</v>
      </c>
      <c r="X249">
        <f t="shared" si="22"/>
        <v>35.564053356823756</v>
      </c>
      <c r="Y249" t="str">
        <f t="shared" si="23"/>
        <v>Star</v>
      </c>
    </row>
    <row r="250" spans="1:25" x14ac:dyDescent="0.3">
      <c r="A250" t="s">
        <v>532</v>
      </c>
      <c r="B250" t="s">
        <v>533</v>
      </c>
      <c r="C250" t="s">
        <v>32</v>
      </c>
      <c r="D250" s="1">
        <v>45318</v>
      </c>
      <c r="E250">
        <v>429</v>
      </c>
      <c r="F250" t="s">
        <v>28</v>
      </c>
      <c r="G250">
        <v>2560</v>
      </c>
      <c r="H250">
        <v>1167</v>
      </c>
      <c r="I250">
        <v>220</v>
      </c>
      <c r="J250">
        <v>328</v>
      </c>
      <c r="K250">
        <v>839680</v>
      </c>
      <c r="L250">
        <v>114693</v>
      </c>
      <c r="M250">
        <v>724987</v>
      </c>
      <c r="N250">
        <f t="shared" si="18"/>
        <v>382776</v>
      </c>
      <c r="O250">
        <f t="shared" si="19"/>
        <v>342211</v>
      </c>
      <c r="P250">
        <f t="shared" si="20"/>
        <v>0.472023636285892</v>
      </c>
      <c r="Q250">
        <v>7</v>
      </c>
      <c r="R250">
        <v>16128</v>
      </c>
      <c r="S250">
        <f t="shared" si="21"/>
        <v>3.1818181818181815E-2</v>
      </c>
      <c r="T250">
        <v>90</v>
      </c>
      <c r="U250">
        <v>4.46</v>
      </c>
      <c r="V250">
        <v>415826</v>
      </c>
      <c r="W250">
        <v>890602</v>
      </c>
      <c r="X250">
        <f t="shared" si="22"/>
        <v>2.1417660271363501</v>
      </c>
      <c r="Y250" t="str">
        <f t="shared" si="23"/>
        <v>Star</v>
      </c>
    </row>
    <row r="251" spans="1:25" x14ac:dyDescent="0.3">
      <c r="A251" t="s">
        <v>534</v>
      </c>
      <c r="B251" t="s">
        <v>535</v>
      </c>
      <c r="C251" t="s">
        <v>32</v>
      </c>
      <c r="D251" s="1">
        <v>45226</v>
      </c>
      <c r="E251">
        <v>521</v>
      </c>
      <c r="F251" t="s">
        <v>28</v>
      </c>
      <c r="G251">
        <v>12569</v>
      </c>
      <c r="H251">
        <v>5696</v>
      </c>
      <c r="I251">
        <v>89</v>
      </c>
      <c r="J251">
        <v>136</v>
      </c>
      <c r="K251">
        <v>1709384</v>
      </c>
      <c r="L251">
        <v>283333</v>
      </c>
      <c r="M251">
        <v>1426051</v>
      </c>
      <c r="N251">
        <f t="shared" si="18"/>
        <v>774656</v>
      </c>
      <c r="O251">
        <f t="shared" si="19"/>
        <v>651395</v>
      </c>
      <c r="P251">
        <f t="shared" si="20"/>
        <v>0.45678240119042024</v>
      </c>
      <c r="Q251">
        <v>12</v>
      </c>
      <c r="R251">
        <v>135744</v>
      </c>
      <c r="S251">
        <f t="shared" si="21"/>
        <v>0.1348314606741573</v>
      </c>
      <c r="T251">
        <v>27</v>
      </c>
      <c r="U251">
        <v>4.74</v>
      </c>
      <c r="V251">
        <v>266081</v>
      </c>
      <c r="W251">
        <v>4897662</v>
      </c>
      <c r="X251">
        <f t="shared" si="22"/>
        <v>18.406658122902424</v>
      </c>
      <c r="Y251" t="str">
        <f t="shared" si="23"/>
        <v>Weak Product</v>
      </c>
    </row>
    <row r="252" spans="1:25" x14ac:dyDescent="0.3">
      <c r="A252" t="s">
        <v>536</v>
      </c>
      <c r="B252" t="s">
        <v>537</v>
      </c>
      <c r="C252" t="s">
        <v>32</v>
      </c>
      <c r="D252" s="1">
        <v>45191</v>
      </c>
      <c r="E252">
        <v>556</v>
      </c>
      <c r="F252" t="s">
        <v>28</v>
      </c>
      <c r="G252">
        <v>4656</v>
      </c>
      <c r="H252">
        <v>2821</v>
      </c>
      <c r="I252">
        <v>92</v>
      </c>
      <c r="J252">
        <v>138</v>
      </c>
      <c r="K252">
        <v>642528</v>
      </c>
      <c r="L252">
        <v>77078</v>
      </c>
      <c r="M252">
        <v>565450</v>
      </c>
      <c r="N252">
        <f t="shared" si="18"/>
        <v>389298</v>
      </c>
      <c r="O252">
        <f t="shared" si="19"/>
        <v>176152</v>
      </c>
      <c r="P252">
        <f t="shared" si="20"/>
        <v>0.31152533380493413</v>
      </c>
      <c r="Q252">
        <v>4</v>
      </c>
      <c r="R252">
        <v>16760</v>
      </c>
      <c r="S252">
        <f t="shared" si="21"/>
        <v>4.3478260869565216E-2</v>
      </c>
      <c r="T252">
        <v>39</v>
      </c>
      <c r="U252">
        <v>3.78</v>
      </c>
      <c r="V252">
        <v>535989</v>
      </c>
      <c r="W252">
        <v>2795300</v>
      </c>
      <c r="X252">
        <f t="shared" si="22"/>
        <v>5.2152189690460062</v>
      </c>
      <c r="Y252" t="str">
        <f t="shared" si="23"/>
        <v>Weak Product</v>
      </c>
    </row>
    <row r="253" spans="1:25" x14ac:dyDescent="0.3">
      <c r="A253" t="s">
        <v>538</v>
      </c>
      <c r="B253" t="s">
        <v>539</v>
      </c>
      <c r="C253" t="s">
        <v>42</v>
      </c>
      <c r="D253" s="1">
        <v>45140</v>
      </c>
      <c r="E253">
        <v>607</v>
      </c>
      <c r="F253" t="s">
        <v>28</v>
      </c>
      <c r="G253">
        <v>412</v>
      </c>
      <c r="H253">
        <v>230</v>
      </c>
      <c r="I253">
        <v>429</v>
      </c>
      <c r="J253">
        <v>638</v>
      </c>
      <c r="K253">
        <v>262856</v>
      </c>
      <c r="L253">
        <v>35379</v>
      </c>
      <c r="M253">
        <v>227477</v>
      </c>
      <c r="N253">
        <f t="shared" si="18"/>
        <v>146740</v>
      </c>
      <c r="O253">
        <f t="shared" si="19"/>
        <v>80737</v>
      </c>
      <c r="P253">
        <f t="shared" si="20"/>
        <v>0.35492379449350925</v>
      </c>
      <c r="Q253">
        <v>30</v>
      </c>
      <c r="R253">
        <v>11100</v>
      </c>
      <c r="S253">
        <f t="shared" si="21"/>
        <v>6.9930069930069935E-2</v>
      </c>
      <c r="T253">
        <v>173</v>
      </c>
      <c r="U253">
        <v>4.22</v>
      </c>
      <c r="V253">
        <v>250847</v>
      </c>
      <c r="W253">
        <v>90986</v>
      </c>
      <c r="X253">
        <f t="shared" si="22"/>
        <v>0.36271512116947779</v>
      </c>
      <c r="Y253" t="str">
        <f t="shared" si="23"/>
        <v>Weak Product</v>
      </c>
    </row>
    <row r="254" spans="1:25" x14ac:dyDescent="0.3">
      <c r="A254" t="s">
        <v>540</v>
      </c>
      <c r="B254" t="s">
        <v>541</v>
      </c>
      <c r="C254" t="s">
        <v>42</v>
      </c>
      <c r="D254" s="1">
        <v>45117</v>
      </c>
      <c r="E254">
        <v>630</v>
      </c>
      <c r="F254" t="s">
        <v>28</v>
      </c>
      <c r="G254">
        <v>15392</v>
      </c>
      <c r="H254">
        <v>11455</v>
      </c>
      <c r="I254">
        <v>63</v>
      </c>
      <c r="J254">
        <v>96</v>
      </c>
      <c r="K254">
        <v>1477632</v>
      </c>
      <c r="L254">
        <v>139089</v>
      </c>
      <c r="M254">
        <v>1338543</v>
      </c>
      <c r="N254">
        <f t="shared" si="18"/>
        <v>1099680</v>
      </c>
      <c r="O254">
        <f t="shared" si="19"/>
        <v>238863</v>
      </c>
      <c r="P254">
        <f t="shared" si="20"/>
        <v>0.17845000123268359</v>
      </c>
      <c r="Q254">
        <v>1</v>
      </c>
      <c r="R254">
        <v>13852</v>
      </c>
      <c r="S254">
        <f t="shared" si="21"/>
        <v>1.5873015873015872E-2</v>
      </c>
      <c r="T254">
        <v>27</v>
      </c>
      <c r="U254">
        <v>3.52</v>
      </c>
      <c r="V254">
        <v>261454</v>
      </c>
      <c r="W254">
        <v>2105593</v>
      </c>
      <c r="X254">
        <f t="shared" si="22"/>
        <v>8.0533975383815122</v>
      </c>
      <c r="Y254" t="str">
        <f t="shared" si="23"/>
        <v>Weak Product</v>
      </c>
    </row>
    <row r="255" spans="1:25" x14ac:dyDescent="0.3">
      <c r="A255" t="s">
        <v>542</v>
      </c>
      <c r="B255" t="s">
        <v>543</v>
      </c>
      <c r="C255" t="s">
        <v>42</v>
      </c>
      <c r="D255" s="1">
        <v>44903</v>
      </c>
      <c r="E255">
        <v>844</v>
      </c>
      <c r="F255" t="s">
        <v>28</v>
      </c>
      <c r="G255">
        <v>811</v>
      </c>
      <c r="H255">
        <v>642</v>
      </c>
      <c r="I255">
        <v>132</v>
      </c>
      <c r="J255">
        <v>192</v>
      </c>
      <c r="K255">
        <v>155712</v>
      </c>
      <c r="L255">
        <v>14674</v>
      </c>
      <c r="M255">
        <v>141038</v>
      </c>
      <c r="N255">
        <f t="shared" si="18"/>
        <v>123264</v>
      </c>
      <c r="O255">
        <f t="shared" si="19"/>
        <v>17774</v>
      </c>
      <c r="P255">
        <f t="shared" si="20"/>
        <v>0.12602277400416909</v>
      </c>
      <c r="Q255">
        <v>16</v>
      </c>
      <c r="R255">
        <v>11664</v>
      </c>
      <c r="S255">
        <f t="shared" si="21"/>
        <v>0.12121212121212122</v>
      </c>
      <c r="T255">
        <v>64</v>
      </c>
      <c r="U255">
        <v>3.27</v>
      </c>
      <c r="V255">
        <v>209479</v>
      </c>
      <c r="W255">
        <v>261712</v>
      </c>
      <c r="X255">
        <f t="shared" si="22"/>
        <v>1.2493471899331199</v>
      </c>
      <c r="Y255" t="str">
        <f t="shared" si="23"/>
        <v>Weak Product</v>
      </c>
    </row>
    <row r="256" spans="1:25" x14ac:dyDescent="0.3">
      <c r="A256" t="s">
        <v>544</v>
      </c>
      <c r="B256" t="s">
        <v>545</v>
      </c>
      <c r="C256" t="s">
        <v>42</v>
      </c>
      <c r="D256" s="1">
        <v>45074</v>
      </c>
      <c r="E256">
        <v>673</v>
      </c>
      <c r="F256" t="s">
        <v>28</v>
      </c>
      <c r="G256">
        <v>1748</v>
      </c>
      <c r="H256">
        <v>1256</v>
      </c>
      <c r="I256">
        <v>232</v>
      </c>
      <c r="J256">
        <v>335</v>
      </c>
      <c r="K256">
        <v>585580</v>
      </c>
      <c r="L256">
        <v>56910</v>
      </c>
      <c r="M256">
        <v>528670</v>
      </c>
      <c r="N256">
        <f t="shared" si="18"/>
        <v>420760</v>
      </c>
      <c r="O256">
        <f t="shared" si="19"/>
        <v>107910</v>
      </c>
      <c r="P256">
        <f t="shared" si="20"/>
        <v>0.20411598918039608</v>
      </c>
      <c r="Q256">
        <v>10</v>
      </c>
      <c r="R256">
        <v>15730</v>
      </c>
      <c r="S256">
        <f t="shared" si="21"/>
        <v>4.3103448275862072E-2</v>
      </c>
      <c r="T256">
        <v>96</v>
      </c>
      <c r="U256">
        <v>3.52</v>
      </c>
      <c r="V256">
        <v>324472</v>
      </c>
      <c r="W256">
        <v>628019</v>
      </c>
      <c r="X256">
        <f t="shared" si="22"/>
        <v>1.935510614167016</v>
      </c>
      <c r="Y256" t="str">
        <f t="shared" si="23"/>
        <v>Weak Product</v>
      </c>
    </row>
    <row r="257" spans="1:25" x14ac:dyDescent="0.3">
      <c r="A257" t="s">
        <v>546</v>
      </c>
      <c r="B257" t="s">
        <v>547</v>
      </c>
      <c r="C257" t="s">
        <v>42</v>
      </c>
      <c r="D257" s="1">
        <v>45584</v>
      </c>
      <c r="E257">
        <v>163</v>
      </c>
      <c r="F257" t="s">
        <v>28</v>
      </c>
      <c r="G257">
        <v>7972</v>
      </c>
      <c r="H257">
        <v>4248</v>
      </c>
      <c r="I257">
        <v>115</v>
      </c>
      <c r="J257">
        <v>185</v>
      </c>
      <c r="K257">
        <v>1474820</v>
      </c>
      <c r="L257">
        <v>238968</v>
      </c>
      <c r="M257">
        <v>1235852</v>
      </c>
      <c r="N257">
        <f t="shared" si="18"/>
        <v>785880</v>
      </c>
      <c r="O257">
        <f t="shared" si="19"/>
        <v>449972</v>
      </c>
      <c r="P257">
        <f t="shared" si="20"/>
        <v>0.36409861374986646</v>
      </c>
      <c r="Q257">
        <v>6</v>
      </c>
      <c r="R257">
        <v>43044</v>
      </c>
      <c r="S257">
        <f t="shared" si="21"/>
        <v>5.2173913043478258E-2</v>
      </c>
      <c r="T257">
        <v>44</v>
      </c>
      <c r="U257">
        <v>4.4000000000000004</v>
      </c>
      <c r="V257">
        <v>177732</v>
      </c>
      <c r="W257">
        <v>1280712</v>
      </c>
      <c r="X257">
        <f t="shared" si="22"/>
        <v>7.2058605090810888</v>
      </c>
      <c r="Y257" t="str">
        <f t="shared" si="23"/>
        <v>Weak Product</v>
      </c>
    </row>
    <row r="258" spans="1:25" x14ac:dyDescent="0.3">
      <c r="A258" t="s">
        <v>548</v>
      </c>
      <c r="B258" t="s">
        <v>549</v>
      </c>
      <c r="C258" t="s">
        <v>42</v>
      </c>
      <c r="D258" s="1">
        <v>45142</v>
      </c>
      <c r="E258">
        <v>605</v>
      </c>
      <c r="F258" t="s">
        <v>28</v>
      </c>
      <c r="G258">
        <v>17379</v>
      </c>
      <c r="H258">
        <v>13912</v>
      </c>
      <c r="I258">
        <v>56</v>
      </c>
      <c r="J258">
        <v>89</v>
      </c>
      <c r="K258">
        <v>1546731</v>
      </c>
      <c r="L258">
        <v>263351</v>
      </c>
      <c r="M258">
        <v>1283380</v>
      </c>
      <c r="N258">
        <f t="shared" si="18"/>
        <v>1238168</v>
      </c>
      <c r="O258">
        <f t="shared" si="19"/>
        <v>45212</v>
      </c>
      <c r="P258">
        <f t="shared" si="20"/>
        <v>3.5228848821081828E-2</v>
      </c>
      <c r="Q258">
        <v>10</v>
      </c>
      <c r="R258">
        <v>156410</v>
      </c>
      <c r="S258">
        <f t="shared" si="21"/>
        <v>0.17857142857142858</v>
      </c>
      <c r="T258">
        <v>22</v>
      </c>
      <c r="U258">
        <v>3.5</v>
      </c>
      <c r="V258">
        <v>224905</v>
      </c>
      <c r="W258">
        <v>4633895</v>
      </c>
      <c r="X258">
        <f t="shared" si="22"/>
        <v>20.603788266156823</v>
      </c>
      <c r="Y258" t="str">
        <f t="shared" si="23"/>
        <v>Weak Product</v>
      </c>
    </row>
    <row r="259" spans="1:25" x14ac:dyDescent="0.3">
      <c r="A259" t="s">
        <v>550</v>
      </c>
      <c r="B259" t="s">
        <v>551</v>
      </c>
      <c r="C259" t="s">
        <v>42</v>
      </c>
      <c r="D259" s="1">
        <v>45187</v>
      </c>
      <c r="E259">
        <v>560</v>
      </c>
      <c r="F259" t="s">
        <v>28</v>
      </c>
      <c r="G259">
        <v>18513</v>
      </c>
      <c r="H259">
        <v>12532</v>
      </c>
      <c r="I259">
        <v>60</v>
      </c>
      <c r="J259">
        <v>88</v>
      </c>
      <c r="K259">
        <v>1629144</v>
      </c>
      <c r="L259">
        <v>293029</v>
      </c>
      <c r="M259">
        <v>1336115</v>
      </c>
      <c r="N259">
        <f t="shared" ref="N259:N322" si="24">J259*H259</f>
        <v>1102816</v>
      </c>
      <c r="O259">
        <f t="shared" ref="O259:O322" si="25">M259-N259</f>
        <v>233299</v>
      </c>
      <c r="P259">
        <f t="shared" ref="P259:P322" si="26">IF(M259&gt;0, (M259-N259)/M259, 0)</f>
        <v>0.1746099699501914</v>
      </c>
      <c r="Q259">
        <v>0</v>
      </c>
      <c r="R259">
        <v>0</v>
      </c>
      <c r="S259">
        <f t="shared" ref="S259:S322" si="27">IF(I259&gt;0, Q259/I259, 0)</f>
        <v>0</v>
      </c>
      <c r="T259">
        <v>25</v>
      </c>
      <c r="U259">
        <v>3.72</v>
      </c>
      <c r="V259">
        <v>99755</v>
      </c>
      <c r="W259">
        <v>2513571</v>
      </c>
      <c r="X259">
        <f t="shared" ref="X259:X322" si="28">IF(V259&gt;0, W259/V259, 0)</f>
        <v>25.197443737156032</v>
      </c>
      <c r="Y259" t="str">
        <f t="shared" ref="Y259:Y322" si="29">IF(E259&lt;=90, "Immature Product", IF(AND(O259&gt;0, U259&gt;=4, S259&lt;0.05), "Star", IF(AND(M259&gt;10000000, O259&lt;0), "Revenue Trap", IF(AND(O259&gt;0, U259&gt;=4, V259&lt;100000), "Hidden Opportunity", "Weak Product"))))</f>
        <v>Weak Product</v>
      </c>
    </row>
    <row r="260" spans="1:25" x14ac:dyDescent="0.3">
      <c r="A260" t="s">
        <v>552</v>
      </c>
      <c r="B260" t="s">
        <v>553</v>
      </c>
      <c r="C260" t="s">
        <v>42</v>
      </c>
      <c r="D260" s="1">
        <v>45023</v>
      </c>
      <c r="E260">
        <v>724</v>
      </c>
      <c r="F260" t="s">
        <v>28</v>
      </c>
      <c r="G260">
        <v>5188</v>
      </c>
      <c r="H260">
        <v>3969</v>
      </c>
      <c r="I260">
        <v>73</v>
      </c>
      <c r="J260">
        <v>105</v>
      </c>
      <c r="K260">
        <v>544740</v>
      </c>
      <c r="L260">
        <v>102909</v>
      </c>
      <c r="M260">
        <v>441831</v>
      </c>
      <c r="N260">
        <f t="shared" si="24"/>
        <v>416745</v>
      </c>
      <c r="O260">
        <f t="shared" si="25"/>
        <v>25086</v>
      </c>
      <c r="P260">
        <f t="shared" si="26"/>
        <v>5.6777365101135957E-2</v>
      </c>
      <c r="Q260">
        <v>10</v>
      </c>
      <c r="R260">
        <v>46690</v>
      </c>
      <c r="S260">
        <f t="shared" si="27"/>
        <v>0.13698630136986301</v>
      </c>
      <c r="T260">
        <v>30</v>
      </c>
      <c r="U260">
        <v>3.38</v>
      </c>
      <c r="V260">
        <v>693187</v>
      </c>
      <c r="W260">
        <v>4332689</v>
      </c>
      <c r="X260">
        <f t="shared" si="28"/>
        <v>6.2503898659380512</v>
      </c>
      <c r="Y260" t="str">
        <f t="shared" si="29"/>
        <v>Weak Product</v>
      </c>
    </row>
    <row r="261" spans="1:25" x14ac:dyDescent="0.3">
      <c r="A261" t="s">
        <v>554</v>
      </c>
      <c r="B261" t="s">
        <v>555</v>
      </c>
      <c r="C261" t="s">
        <v>42</v>
      </c>
      <c r="D261" s="1">
        <v>45410</v>
      </c>
      <c r="E261">
        <v>337</v>
      </c>
      <c r="F261" t="s">
        <v>28</v>
      </c>
      <c r="G261">
        <v>15471</v>
      </c>
      <c r="H261">
        <v>7555</v>
      </c>
      <c r="I261">
        <v>28</v>
      </c>
      <c r="J261">
        <v>40</v>
      </c>
      <c r="K261">
        <v>618840</v>
      </c>
      <c r="L261">
        <v>85496</v>
      </c>
      <c r="M261">
        <v>533344</v>
      </c>
      <c r="N261">
        <f t="shared" si="24"/>
        <v>302200</v>
      </c>
      <c r="O261">
        <f t="shared" si="25"/>
        <v>231144</v>
      </c>
      <c r="P261">
        <f t="shared" si="26"/>
        <v>0.43338633227335455</v>
      </c>
      <c r="Q261">
        <v>2</v>
      </c>
      <c r="R261">
        <v>27846</v>
      </c>
      <c r="S261">
        <f t="shared" si="27"/>
        <v>7.1428571428571425E-2</v>
      </c>
      <c r="T261">
        <v>13</v>
      </c>
      <c r="U261">
        <v>4.38</v>
      </c>
      <c r="V261">
        <v>316105</v>
      </c>
      <c r="W261">
        <v>6532472</v>
      </c>
      <c r="X261">
        <f t="shared" si="28"/>
        <v>20.66551304155265</v>
      </c>
      <c r="Y261" t="str">
        <f t="shared" si="29"/>
        <v>Weak Product</v>
      </c>
    </row>
    <row r="262" spans="1:25" x14ac:dyDescent="0.3">
      <c r="A262" t="s">
        <v>556</v>
      </c>
      <c r="B262" t="s">
        <v>557</v>
      </c>
      <c r="C262" t="s">
        <v>42</v>
      </c>
      <c r="D262" s="1">
        <v>45295</v>
      </c>
      <c r="E262">
        <v>452</v>
      </c>
      <c r="F262" t="s">
        <v>28</v>
      </c>
      <c r="G262">
        <v>11121</v>
      </c>
      <c r="H262">
        <v>6772</v>
      </c>
      <c r="I262">
        <v>76</v>
      </c>
      <c r="J262">
        <v>105</v>
      </c>
      <c r="K262">
        <v>1167705</v>
      </c>
      <c r="L262">
        <v>168610</v>
      </c>
      <c r="M262">
        <v>999095</v>
      </c>
      <c r="N262">
        <f t="shared" si="24"/>
        <v>711060</v>
      </c>
      <c r="O262">
        <f t="shared" si="25"/>
        <v>288035</v>
      </c>
      <c r="P262">
        <f t="shared" si="26"/>
        <v>0.28829590779655589</v>
      </c>
      <c r="Q262">
        <v>7</v>
      </c>
      <c r="R262">
        <v>70056</v>
      </c>
      <c r="S262">
        <f t="shared" si="27"/>
        <v>9.2105263157894732E-2</v>
      </c>
      <c r="T262">
        <v>29</v>
      </c>
      <c r="U262">
        <v>3.91</v>
      </c>
      <c r="V262">
        <v>246983</v>
      </c>
      <c r="W262">
        <v>1491219</v>
      </c>
      <c r="X262">
        <f t="shared" si="28"/>
        <v>6.0377394395565691</v>
      </c>
      <c r="Y262" t="str">
        <f t="shared" si="29"/>
        <v>Weak Product</v>
      </c>
    </row>
    <row r="263" spans="1:25" x14ac:dyDescent="0.3">
      <c r="A263" t="s">
        <v>558</v>
      </c>
      <c r="B263" t="s">
        <v>559</v>
      </c>
      <c r="C263" t="s">
        <v>42</v>
      </c>
      <c r="D263" s="1">
        <v>45027</v>
      </c>
      <c r="E263">
        <v>720</v>
      </c>
      <c r="F263" t="s">
        <v>28</v>
      </c>
      <c r="G263">
        <v>1594</v>
      </c>
      <c r="H263">
        <v>807</v>
      </c>
      <c r="I263">
        <v>82</v>
      </c>
      <c r="J263">
        <v>120</v>
      </c>
      <c r="K263">
        <v>191280</v>
      </c>
      <c r="L263">
        <v>25952</v>
      </c>
      <c r="M263">
        <v>165328</v>
      </c>
      <c r="N263">
        <f t="shared" si="24"/>
        <v>96840</v>
      </c>
      <c r="O263">
        <f t="shared" si="25"/>
        <v>68488</v>
      </c>
      <c r="P263">
        <f t="shared" si="26"/>
        <v>0.41425529855801801</v>
      </c>
      <c r="Q263">
        <v>9</v>
      </c>
      <c r="R263">
        <v>12906</v>
      </c>
      <c r="S263">
        <f t="shared" si="27"/>
        <v>0.10975609756097561</v>
      </c>
      <c r="T263">
        <v>34</v>
      </c>
      <c r="U263">
        <v>4.32</v>
      </c>
      <c r="V263">
        <v>624525</v>
      </c>
      <c r="W263">
        <v>1104263</v>
      </c>
      <c r="X263">
        <f t="shared" si="28"/>
        <v>1.7681646050998758</v>
      </c>
      <c r="Y263" t="str">
        <f t="shared" si="29"/>
        <v>Weak Product</v>
      </c>
    </row>
    <row r="264" spans="1:25" x14ac:dyDescent="0.3">
      <c r="A264" t="s">
        <v>560</v>
      </c>
      <c r="B264" t="s">
        <v>561</v>
      </c>
      <c r="C264" t="s">
        <v>42</v>
      </c>
      <c r="D264" s="1">
        <v>44850</v>
      </c>
      <c r="E264">
        <v>897</v>
      </c>
      <c r="F264" t="s">
        <v>28</v>
      </c>
      <c r="G264">
        <v>10233</v>
      </c>
      <c r="H264">
        <v>4802</v>
      </c>
      <c r="I264">
        <v>58</v>
      </c>
      <c r="J264">
        <v>86</v>
      </c>
      <c r="K264">
        <v>880038</v>
      </c>
      <c r="L264">
        <v>81831</v>
      </c>
      <c r="M264">
        <v>798207</v>
      </c>
      <c r="N264">
        <f t="shared" si="24"/>
        <v>412972</v>
      </c>
      <c r="O264">
        <f t="shared" si="25"/>
        <v>385235</v>
      </c>
      <c r="P264">
        <f t="shared" si="26"/>
        <v>0.48262543425452292</v>
      </c>
      <c r="Q264">
        <v>3</v>
      </c>
      <c r="R264">
        <v>27627</v>
      </c>
      <c r="S264">
        <f t="shared" si="27"/>
        <v>5.1724137931034482E-2</v>
      </c>
      <c r="T264">
        <v>24</v>
      </c>
      <c r="U264">
        <v>4.4000000000000004</v>
      </c>
      <c r="V264">
        <v>503641</v>
      </c>
      <c r="W264">
        <v>4261528</v>
      </c>
      <c r="X264">
        <f t="shared" si="28"/>
        <v>8.4614397954098255</v>
      </c>
      <c r="Y264" t="str">
        <f t="shared" si="29"/>
        <v>Weak Product</v>
      </c>
    </row>
    <row r="265" spans="1:25" x14ac:dyDescent="0.3">
      <c r="A265" t="s">
        <v>562</v>
      </c>
      <c r="B265" t="s">
        <v>563</v>
      </c>
      <c r="C265" t="s">
        <v>42</v>
      </c>
      <c r="D265" s="1">
        <v>45555</v>
      </c>
      <c r="E265">
        <v>192</v>
      </c>
      <c r="F265" t="s">
        <v>28</v>
      </c>
      <c r="G265">
        <v>8248</v>
      </c>
      <c r="H265">
        <v>4841</v>
      </c>
      <c r="I265">
        <v>56</v>
      </c>
      <c r="J265">
        <v>84</v>
      </c>
      <c r="K265">
        <v>692832</v>
      </c>
      <c r="L265">
        <v>127762</v>
      </c>
      <c r="M265">
        <v>565070</v>
      </c>
      <c r="N265">
        <f t="shared" si="24"/>
        <v>406644</v>
      </c>
      <c r="O265">
        <f t="shared" si="25"/>
        <v>158426</v>
      </c>
      <c r="P265">
        <f t="shared" si="26"/>
        <v>0.28036526448050686</v>
      </c>
      <c r="Q265">
        <v>5</v>
      </c>
      <c r="R265">
        <v>37115</v>
      </c>
      <c r="S265">
        <f t="shared" si="27"/>
        <v>8.9285714285714288E-2</v>
      </c>
      <c r="T265">
        <v>24</v>
      </c>
      <c r="U265">
        <v>4.04</v>
      </c>
      <c r="V265">
        <v>447473</v>
      </c>
      <c r="W265">
        <v>4059551</v>
      </c>
      <c r="X265">
        <f t="shared" si="28"/>
        <v>9.0721697175025078</v>
      </c>
      <c r="Y265" t="str">
        <f t="shared" si="29"/>
        <v>Weak Product</v>
      </c>
    </row>
    <row r="266" spans="1:25" x14ac:dyDescent="0.3">
      <c r="A266" t="s">
        <v>564</v>
      </c>
      <c r="B266" t="s">
        <v>565</v>
      </c>
      <c r="C266" t="s">
        <v>42</v>
      </c>
      <c r="D266" s="1">
        <v>45203</v>
      </c>
      <c r="E266">
        <v>544</v>
      </c>
      <c r="F266" t="s">
        <v>28</v>
      </c>
      <c r="G266">
        <v>12071</v>
      </c>
      <c r="H266">
        <v>9188</v>
      </c>
      <c r="I266">
        <v>60</v>
      </c>
      <c r="J266">
        <v>93</v>
      </c>
      <c r="K266">
        <v>1122603</v>
      </c>
      <c r="L266">
        <v>133776</v>
      </c>
      <c r="M266">
        <v>988827</v>
      </c>
      <c r="N266">
        <f t="shared" si="24"/>
        <v>854484</v>
      </c>
      <c r="O266">
        <f t="shared" si="25"/>
        <v>134343</v>
      </c>
      <c r="P266">
        <f t="shared" si="26"/>
        <v>0.13586097466998778</v>
      </c>
      <c r="Q266">
        <v>2</v>
      </c>
      <c r="R266">
        <v>21726</v>
      </c>
      <c r="S266">
        <f t="shared" si="27"/>
        <v>3.3333333333333333E-2</v>
      </c>
      <c r="T266">
        <v>23</v>
      </c>
      <c r="U266">
        <v>3.61</v>
      </c>
      <c r="V266">
        <v>575100</v>
      </c>
      <c r="W266">
        <v>5360790</v>
      </c>
      <c r="X266">
        <f t="shared" si="28"/>
        <v>9.3214919144496609</v>
      </c>
      <c r="Y266" t="str">
        <f t="shared" si="29"/>
        <v>Weak Product</v>
      </c>
    </row>
    <row r="267" spans="1:25" x14ac:dyDescent="0.3">
      <c r="A267" t="s">
        <v>566</v>
      </c>
      <c r="B267" t="s">
        <v>567</v>
      </c>
      <c r="C267" t="s">
        <v>42</v>
      </c>
      <c r="D267" s="1">
        <v>45258</v>
      </c>
      <c r="E267">
        <v>489</v>
      </c>
      <c r="F267" t="s">
        <v>28</v>
      </c>
      <c r="G267">
        <v>6955</v>
      </c>
      <c r="H267">
        <v>5099</v>
      </c>
      <c r="I267">
        <v>127</v>
      </c>
      <c r="J267">
        <v>189</v>
      </c>
      <c r="K267">
        <v>1314495</v>
      </c>
      <c r="L267">
        <v>148470</v>
      </c>
      <c r="M267">
        <v>1166025</v>
      </c>
      <c r="N267">
        <f t="shared" si="24"/>
        <v>963711</v>
      </c>
      <c r="O267">
        <f t="shared" si="25"/>
        <v>202314</v>
      </c>
      <c r="P267">
        <f t="shared" si="26"/>
        <v>0.17350742908599731</v>
      </c>
      <c r="Q267">
        <v>19</v>
      </c>
      <c r="R267">
        <v>118921</v>
      </c>
      <c r="S267">
        <f t="shared" si="27"/>
        <v>0.14960629921259844</v>
      </c>
      <c r="T267">
        <v>41</v>
      </c>
      <c r="U267">
        <v>3.43</v>
      </c>
      <c r="V267">
        <v>151870</v>
      </c>
      <c r="W267">
        <v>1351611</v>
      </c>
      <c r="X267">
        <f t="shared" si="28"/>
        <v>8.8997892934746829</v>
      </c>
      <c r="Y267" t="str">
        <f t="shared" si="29"/>
        <v>Weak Product</v>
      </c>
    </row>
    <row r="268" spans="1:25" x14ac:dyDescent="0.3">
      <c r="A268" t="s">
        <v>568</v>
      </c>
      <c r="B268" t="s">
        <v>569</v>
      </c>
      <c r="C268" t="s">
        <v>42</v>
      </c>
      <c r="D268" s="1">
        <v>45137</v>
      </c>
      <c r="E268">
        <v>610</v>
      </c>
      <c r="F268" t="s">
        <v>28</v>
      </c>
      <c r="G268">
        <v>19276</v>
      </c>
      <c r="H268">
        <v>11102</v>
      </c>
      <c r="I268">
        <v>72</v>
      </c>
      <c r="J268">
        <v>113</v>
      </c>
      <c r="K268">
        <v>2178188</v>
      </c>
      <c r="L268">
        <v>380557</v>
      </c>
      <c r="M268">
        <v>1797631</v>
      </c>
      <c r="N268">
        <f t="shared" si="24"/>
        <v>1254526</v>
      </c>
      <c r="O268">
        <f t="shared" si="25"/>
        <v>543105</v>
      </c>
      <c r="P268">
        <f t="shared" si="26"/>
        <v>0.30212262694624203</v>
      </c>
      <c r="Q268">
        <v>10</v>
      </c>
      <c r="R268">
        <v>173480</v>
      </c>
      <c r="S268">
        <f t="shared" si="27"/>
        <v>0.1388888888888889</v>
      </c>
      <c r="T268">
        <v>23</v>
      </c>
      <c r="U268">
        <v>4.3499999999999996</v>
      </c>
      <c r="V268">
        <v>592701</v>
      </c>
      <c r="W268">
        <v>11535983</v>
      </c>
      <c r="X268">
        <f t="shared" si="28"/>
        <v>19.463410724800532</v>
      </c>
      <c r="Y268" t="str">
        <f t="shared" si="29"/>
        <v>Weak Product</v>
      </c>
    </row>
    <row r="269" spans="1:25" x14ac:dyDescent="0.3">
      <c r="A269" t="s">
        <v>570</v>
      </c>
      <c r="B269" t="s">
        <v>571</v>
      </c>
      <c r="C269" t="s">
        <v>42</v>
      </c>
      <c r="D269" s="1">
        <v>45335</v>
      </c>
      <c r="E269">
        <v>412</v>
      </c>
      <c r="F269" t="s">
        <v>28</v>
      </c>
      <c r="G269">
        <v>8731</v>
      </c>
      <c r="H269">
        <v>4858</v>
      </c>
      <c r="I269">
        <v>36</v>
      </c>
      <c r="J269">
        <v>55</v>
      </c>
      <c r="K269">
        <v>480205</v>
      </c>
      <c r="L269">
        <v>52255</v>
      </c>
      <c r="M269">
        <v>427950</v>
      </c>
      <c r="N269">
        <f t="shared" si="24"/>
        <v>267190</v>
      </c>
      <c r="O269">
        <f t="shared" si="25"/>
        <v>160760</v>
      </c>
      <c r="P269">
        <f t="shared" si="26"/>
        <v>0.37565136114032011</v>
      </c>
      <c r="Q269">
        <v>5</v>
      </c>
      <c r="R269">
        <v>39285</v>
      </c>
      <c r="S269">
        <f t="shared" si="27"/>
        <v>0.1388888888888889</v>
      </c>
      <c r="T269">
        <v>15</v>
      </c>
      <c r="U269">
        <v>4.07</v>
      </c>
      <c r="V269">
        <v>168638</v>
      </c>
      <c r="W269">
        <v>1460971</v>
      </c>
      <c r="X269">
        <f t="shared" si="28"/>
        <v>8.6633558272749909</v>
      </c>
      <c r="Y269" t="str">
        <f t="shared" si="29"/>
        <v>Weak Product</v>
      </c>
    </row>
    <row r="270" spans="1:25" x14ac:dyDescent="0.3">
      <c r="A270" t="s">
        <v>572</v>
      </c>
      <c r="B270" t="s">
        <v>573</v>
      </c>
      <c r="C270" t="s">
        <v>42</v>
      </c>
      <c r="D270" s="1">
        <v>45394</v>
      </c>
      <c r="E270">
        <v>353</v>
      </c>
      <c r="F270" t="s">
        <v>28</v>
      </c>
      <c r="G270">
        <v>5845</v>
      </c>
      <c r="H270">
        <v>4892</v>
      </c>
      <c r="I270">
        <v>139</v>
      </c>
      <c r="J270">
        <v>204</v>
      </c>
      <c r="K270">
        <v>1192380</v>
      </c>
      <c r="L270">
        <v>175581</v>
      </c>
      <c r="M270">
        <v>1016799</v>
      </c>
      <c r="N270">
        <f t="shared" si="24"/>
        <v>997968</v>
      </c>
      <c r="O270">
        <f t="shared" si="25"/>
        <v>18831</v>
      </c>
      <c r="P270">
        <f t="shared" si="26"/>
        <v>1.8519884460940658E-2</v>
      </c>
      <c r="Q270">
        <v>10</v>
      </c>
      <c r="R270">
        <v>52600</v>
      </c>
      <c r="S270">
        <f t="shared" si="27"/>
        <v>7.1942446043165464E-2</v>
      </c>
      <c r="T270">
        <v>55</v>
      </c>
      <c r="U270">
        <v>3.18</v>
      </c>
      <c r="V270">
        <v>183352</v>
      </c>
      <c r="W270">
        <v>1098920</v>
      </c>
      <c r="X270">
        <f t="shared" si="28"/>
        <v>5.9934988437540904</v>
      </c>
      <c r="Y270" t="str">
        <f t="shared" si="29"/>
        <v>Weak Product</v>
      </c>
    </row>
    <row r="271" spans="1:25" x14ac:dyDescent="0.3">
      <c r="A271" t="s">
        <v>574</v>
      </c>
      <c r="B271" t="s">
        <v>575</v>
      </c>
      <c r="C271" t="s">
        <v>42</v>
      </c>
      <c r="D271" s="1">
        <v>44911</v>
      </c>
      <c r="E271">
        <v>836</v>
      </c>
      <c r="F271" t="s">
        <v>28</v>
      </c>
      <c r="G271">
        <v>1407</v>
      </c>
      <c r="H271">
        <v>735</v>
      </c>
      <c r="I271">
        <v>132</v>
      </c>
      <c r="J271">
        <v>193</v>
      </c>
      <c r="K271">
        <v>271551</v>
      </c>
      <c r="L271">
        <v>46431</v>
      </c>
      <c r="M271">
        <v>225120</v>
      </c>
      <c r="N271">
        <f t="shared" si="24"/>
        <v>141855</v>
      </c>
      <c r="O271">
        <f t="shared" si="25"/>
        <v>83265</v>
      </c>
      <c r="P271">
        <f t="shared" si="26"/>
        <v>0.36986940298507465</v>
      </c>
      <c r="Q271">
        <v>7</v>
      </c>
      <c r="R271">
        <v>8862</v>
      </c>
      <c r="S271">
        <f t="shared" si="27"/>
        <v>5.3030303030303032E-2</v>
      </c>
      <c r="T271">
        <v>63</v>
      </c>
      <c r="U271">
        <v>4.3099999999999996</v>
      </c>
      <c r="V271">
        <v>269252</v>
      </c>
      <c r="W271">
        <v>470104</v>
      </c>
      <c r="X271">
        <f t="shared" si="28"/>
        <v>1.7459628897835484</v>
      </c>
      <c r="Y271" t="str">
        <f t="shared" si="29"/>
        <v>Weak Product</v>
      </c>
    </row>
    <row r="272" spans="1:25" x14ac:dyDescent="0.3">
      <c r="A272" t="s">
        <v>576</v>
      </c>
      <c r="B272" t="s">
        <v>577</v>
      </c>
      <c r="C272" t="s">
        <v>42</v>
      </c>
      <c r="D272" s="1">
        <v>44844</v>
      </c>
      <c r="E272">
        <v>903</v>
      </c>
      <c r="F272" t="s">
        <v>28</v>
      </c>
      <c r="G272">
        <v>2526</v>
      </c>
      <c r="H272">
        <v>1469</v>
      </c>
      <c r="I272">
        <v>186</v>
      </c>
      <c r="J272">
        <v>274</v>
      </c>
      <c r="K272">
        <v>692124</v>
      </c>
      <c r="L272">
        <v>118969</v>
      </c>
      <c r="M272">
        <v>573155</v>
      </c>
      <c r="N272">
        <f t="shared" si="24"/>
        <v>402506</v>
      </c>
      <c r="O272">
        <f t="shared" si="25"/>
        <v>170649</v>
      </c>
      <c r="P272">
        <f t="shared" si="26"/>
        <v>0.2977362144620565</v>
      </c>
      <c r="Q272">
        <v>9</v>
      </c>
      <c r="R272">
        <v>20457</v>
      </c>
      <c r="S272">
        <f t="shared" si="27"/>
        <v>4.8387096774193547E-2</v>
      </c>
      <c r="T272">
        <v>65</v>
      </c>
      <c r="U272">
        <v>4.1500000000000004</v>
      </c>
      <c r="V272">
        <v>553048</v>
      </c>
      <c r="W272">
        <v>1826175</v>
      </c>
      <c r="X272">
        <f t="shared" si="28"/>
        <v>3.3020189929264729</v>
      </c>
      <c r="Y272" t="str">
        <f t="shared" si="29"/>
        <v>Star</v>
      </c>
    </row>
    <row r="273" spans="1:25" x14ac:dyDescent="0.3">
      <c r="A273" t="s">
        <v>578</v>
      </c>
      <c r="B273" t="s">
        <v>579</v>
      </c>
      <c r="C273" t="s">
        <v>42</v>
      </c>
      <c r="D273" s="1">
        <v>44847</v>
      </c>
      <c r="E273">
        <v>900</v>
      </c>
      <c r="F273" t="s">
        <v>28</v>
      </c>
      <c r="G273">
        <v>17738</v>
      </c>
      <c r="H273">
        <v>11560</v>
      </c>
      <c r="I273">
        <v>40</v>
      </c>
      <c r="J273">
        <v>58</v>
      </c>
      <c r="K273">
        <v>1028804</v>
      </c>
      <c r="L273">
        <v>129181</v>
      </c>
      <c r="M273">
        <v>899623</v>
      </c>
      <c r="N273">
        <f t="shared" si="24"/>
        <v>670480</v>
      </c>
      <c r="O273">
        <f t="shared" si="25"/>
        <v>229143</v>
      </c>
      <c r="P273">
        <f t="shared" si="26"/>
        <v>0.25471002853417485</v>
      </c>
      <c r="Q273">
        <v>4</v>
      </c>
      <c r="R273">
        <v>63856</v>
      </c>
      <c r="S273">
        <f t="shared" si="27"/>
        <v>0.1</v>
      </c>
      <c r="T273">
        <v>16</v>
      </c>
      <c r="U273">
        <v>3.94</v>
      </c>
      <c r="V273">
        <v>652501</v>
      </c>
      <c r="W273">
        <v>8784997</v>
      </c>
      <c r="X273">
        <f t="shared" si="28"/>
        <v>13.463576301032489</v>
      </c>
      <c r="Y273" t="str">
        <f t="shared" si="29"/>
        <v>Weak Product</v>
      </c>
    </row>
    <row r="274" spans="1:25" x14ac:dyDescent="0.3">
      <c r="A274" t="s">
        <v>580</v>
      </c>
      <c r="B274" t="s">
        <v>581</v>
      </c>
      <c r="C274" t="s">
        <v>42</v>
      </c>
      <c r="D274" s="1">
        <v>45525</v>
      </c>
      <c r="E274">
        <v>222</v>
      </c>
      <c r="F274" t="s">
        <v>28</v>
      </c>
      <c r="G274">
        <v>16755</v>
      </c>
      <c r="H274">
        <v>8948</v>
      </c>
      <c r="I274">
        <v>66</v>
      </c>
      <c r="J274">
        <v>105</v>
      </c>
      <c r="K274">
        <v>1759275</v>
      </c>
      <c r="L274">
        <v>225089</v>
      </c>
      <c r="M274">
        <v>1534186</v>
      </c>
      <c r="N274">
        <f t="shared" si="24"/>
        <v>939540</v>
      </c>
      <c r="O274">
        <f t="shared" si="25"/>
        <v>594646</v>
      </c>
      <c r="P274">
        <f t="shared" si="26"/>
        <v>0.3875970710200719</v>
      </c>
      <c r="Q274">
        <v>5</v>
      </c>
      <c r="R274">
        <v>75395</v>
      </c>
      <c r="S274">
        <f t="shared" si="27"/>
        <v>7.575757575757576E-2</v>
      </c>
      <c r="T274">
        <v>26</v>
      </c>
      <c r="U274">
        <v>4.3499999999999996</v>
      </c>
      <c r="V274">
        <v>99261</v>
      </c>
      <c r="W274">
        <v>1215153</v>
      </c>
      <c r="X274">
        <f t="shared" si="28"/>
        <v>12.24199836793907</v>
      </c>
      <c r="Y274" t="str">
        <f t="shared" si="29"/>
        <v>Hidden Opportunity</v>
      </c>
    </row>
    <row r="275" spans="1:25" x14ac:dyDescent="0.3">
      <c r="A275" t="s">
        <v>582</v>
      </c>
      <c r="B275" t="s">
        <v>583</v>
      </c>
      <c r="C275" t="s">
        <v>42</v>
      </c>
      <c r="D275" s="1">
        <v>45093</v>
      </c>
      <c r="E275">
        <v>654</v>
      </c>
      <c r="F275" t="s">
        <v>28</v>
      </c>
      <c r="G275">
        <v>6588</v>
      </c>
      <c r="H275">
        <v>4091</v>
      </c>
      <c r="I275">
        <v>121</v>
      </c>
      <c r="J275">
        <v>175</v>
      </c>
      <c r="K275">
        <v>1152900</v>
      </c>
      <c r="L275">
        <v>172890</v>
      </c>
      <c r="M275">
        <v>980010</v>
      </c>
      <c r="N275">
        <f t="shared" si="24"/>
        <v>715925</v>
      </c>
      <c r="O275">
        <f t="shared" si="25"/>
        <v>264085</v>
      </c>
      <c r="P275">
        <f t="shared" si="26"/>
        <v>0.26947174008428487</v>
      </c>
      <c r="Q275">
        <v>5</v>
      </c>
      <c r="R275">
        <v>29645</v>
      </c>
      <c r="S275">
        <f t="shared" si="27"/>
        <v>4.1322314049586778E-2</v>
      </c>
      <c r="T275">
        <v>34</v>
      </c>
      <c r="U275">
        <v>3.87</v>
      </c>
      <c r="V275">
        <v>174726</v>
      </c>
      <c r="W275">
        <v>1929248</v>
      </c>
      <c r="X275">
        <f t="shared" si="28"/>
        <v>11.041562217414695</v>
      </c>
      <c r="Y275" t="str">
        <f t="shared" si="29"/>
        <v>Weak Product</v>
      </c>
    </row>
    <row r="276" spans="1:25" x14ac:dyDescent="0.3">
      <c r="A276" t="s">
        <v>584</v>
      </c>
      <c r="B276" t="s">
        <v>585</v>
      </c>
      <c r="C276" t="s">
        <v>42</v>
      </c>
      <c r="D276" s="1">
        <v>45548</v>
      </c>
      <c r="E276">
        <v>199</v>
      </c>
      <c r="F276" t="s">
        <v>28</v>
      </c>
      <c r="G276">
        <v>18812</v>
      </c>
      <c r="H276">
        <v>14871</v>
      </c>
      <c r="I276">
        <v>58</v>
      </c>
      <c r="J276">
        <v>85</v>
      </c>
      <c r="K276">
        <v>1599020</v>
      </c>
      <c r="L276">
        <v>246657</v>
      </c>
      <c r="M276">
        <v>1352363</v>
      </c>
      <c r="N276">
        <f t="shared" si="24"/>
        <v>1264035</v>
      </c>
      <c r="O276">
        <f t="shared" si="25"/>
        <v>88328</v>
      </c>
      <c r="P276">
        <f t="shared" si="26"/>
        <v>6.5313824764504799E-2</v>
      </c>
      <c r="Q276">
        <v>8</v>
      </c>
      <c r="R276">
        <v>135440</v>
      </c>
      <c r="S276">
        <f t="shared" si="27"/>
        <v>0.13793103448275862</v>
      </c>
      <c r="T276">
        <v>20</v>
      </c>
      <c r="U276">
        <v>3.2</v>
      </c>
      <c r="V276">
        <v>631828</v>
      </c>
      <c r="W276">
        <v>9583577</v>
      </c>
      <c r="X276">
        <f t="shared" si="28"/>
        <v>15.168015662490424</v>
      </c>
      <c r="Y276" t="str">
        <f t="shared" si="29"/>
        <v>Weak Product</v>
      </c>
    </row>
    <row r="277" spans="1:25" x14ac:dyDescent="0.3">
      <c r="A277" t="s">
        <v>586</v>
      </c>
      <c r="B277" t="s">
        <v>587</v>
      </c>
      <c r="C277" t="s">
        <v>42</v>
      </c>
      <c r="D277" s="1">
        <v>45221</v>
      </c>
      <c r="E277">
        <v>526</v>
      </c>
      <c r="F277" t="s">
        <v>28</v>
      </c>
      <c r="G277">
        <v>3362</v>
      </c>
      <c r="H277">
        <v>2412</v>
      </c>
      <c r="I277">
        <v>176</v>
      </c>
      <c r="J277">
        <v>264</v>
      </c>
      <c r="K277">
        <v>887568</v>
      </c>
      <c r="L277">
        <v>99032</v>
      </c>
      <c r="M277">
        <v>788536</v>
      </c>
      <c r="N277">
        <f t="shared" si="24"/>
        <v>636768</v>
      </c>
      <c r="O277">
        <f t="shared" si="25"/>
        <v>151768</v>
      </c>
      <c r="P277">
        <f t="shared" si="26"/>
        <v>0.19246806740592692</v>
      </c>
      <c r="Q277">
        <v>25</v>
      </c>
      <c r="R277">
        <v>75625</v>
      </c>
      <c r="S277">
        <f t="shared" si="27"/>
        <v>0.14204545454545456</v>
      </c>
      <c r="T277">
        <v>71</v>
      </c>
      <c r="U277">
        <v>3.62</v>
      </c>
      <c r="V277">
        <v>508598</v>
      </c>
      <c r="W277">
        <v>1041528</v>
      </c>
      <c r="X277">
        <f t="shared" si="28"/>
        <v>2.0478413206501007</v>
      </c>
      <c r="Y277" t="str">
        <f t="shared" si="29"/>
        <v>Weak Product</v>
      </c>
    </row>
    <row r="278" spans="1:25" x14ac:dyDescent="0.3">
      <c r="A278" t="s">
        <v>588</v>
      </c>
      <c r="B278" t="s">
        <v>589</v>
      </c>
      <c r="C278" t="s">
        <v>42</v>
      </c>
      <c r="D278" s="1">
        <v>44932</v>
      </c>
      <c r="E278">
        <v>815</v>
      </c>
      <c r="F278" t="s">
        <v>28</v>
      </c>
      <c r="G278">
        <v>11154</v>
      </c>
      <c r="H278">
        <v>7198</v>
      </c>
      <c r="I278">
        <v>37</v>
      </c>
      <c r="J278">
        <v>57</v>
      </c>
      <c r="K278">
        <v>635778</v>
      </c>
      <c r="L278">
        <v>102378</v>
      </c>
      <c r="M278">
        <v>533400</v>
      </c>
      <c r="N278">
        <f t="shared" si="24"/>
        <v>410286</v>
      </c>
      <c r="O278">
        <f t="shared" si="25"/>
        <v>123114</v>
      </c>
      <c r="P278">
        <f t="shared" si="26"/>
        <v>0.23080989876265467</v>
      </c>
      <c r="Q278">
        <v>3</v>
      </c>
      <c r="R278">
        <v>30114</v>
      </c>
      <c r="S278">
        <f t="shared" si="27"/>
        <v>8.1081081081081086E-2</v>
      </c>
      <c r="T278">
        <v>16</v>
      </c>
      <c r="U278">
        <v>4.0599999999999996</v>
      </c>
      <c r="V278">
        <v>598492</v>
      </c>
      <c r="W278">
        <v>9284849</v>
      </c>
      <c r="X278">
        <f t="shared" si="28"/>
        <v>15.51373953202382</v>
      </c>
      <c r="Y278" t="str">
        <f t="shared" si="29"/>
        <v>Weak Product</v>
      </c>
    </row>
    <row r="279" spans="1:25" x14ac:dyDescent="0.3">
      <c r="A279" t="s">
        <v>590</v>
      </c>
      <c r="B279" t="s">
        <v>591</v>
      </c>
      <c r="C279" t="s">
        <v>42</v>
      </c>
      <c r="D279" s="1">
        <v>44911</v>
      </c>
      <c r="E279">
        <v>836</v>
      </c>
      <c r="F279" t="s">
        <v>28</v>
      </c>
      <c r="G279">
        <v>9182</v>
      </c>
      <c r="H279">
        <v>8071</v>
      </c>
      <c r="I279">
        <v>39</v>
      </c>
      <c r="J279">
        <v>57</v>
      </c>
      <c r="K279">
        <v>523374</v>
      </c>
      <c r="L279">
        <v>54236</v>
      </c>
      <c r="M279">
        <v>469138</v>
      </c>
      <c r="N279">
        <f t="shared" si="24"/>
        <v>460047</v>
      </c>
      <c r="O279">
        <f t="shared" si="25"/>
        <v>9091</v>
      </c>
      <c r="P279">
        <f t="shared" si="26"/>
        <v>1.9378093439457046E-2</v>
      </c>
      <c r="Q279">
        <v>2</v>
      </c>
      <c r="R279">
        <v>16526</v>
      </c>
      <c r="S279">
        <f t="shared" si="27"/>
        <v>5.128205128205128E-2</v>
      </c>
      <c r="T279">
        <v>15</v>
      </c>
      <c r="U279">
        <v>2.63</v>
      </c>
      <c r="V279">
        <v>658403</v>
      </c>
      <c r="W279">
        <v>6961659</v>
      </c>
      <c r="X279">
        <f t="shared" si="28"/>
        <v>10.573552975912929</v>
      </c>
      <c r="Y279" t="str">
        <f t="shared" si="29"/>
        <v>Weak Product</v>
      </c>
    </row>
    <row r="280" spans="1:25" x14ac:dyDescent="0.3">
      <c r="A280" t="s">
        <v>592</v>
      </c>
      <c r="B280" t="s">
        <v>593</v>
      </c>
      <c r="C280" t="s">
        <v>42</v>
      </c>
      <c r="D280" s="1">
        <v>45436</v>
      </c>
      <c r="E280">
        <v>311</v>
      </c>
      <c r="F280" t="s">
        <v>28</v>
      </c>
      <c r="G280">
        <v>812</v>
      </c>
      <c r="H280">
        <v>379</v>
      </c>
      <c r="I280">
        <v>366</v>
      </c>
      <c r="J280">
        <v>546</v>
      </c>
      <c r="K280">
        <v>443352</v>
      </c>
      <c r="L280">
        <v>70421</v>
      </c>
      <c r="M280">
        <v>372931</v>
      </c>
      <c r="N280">
        <f t="shared" si="24"/>
        <v>206934</v>
      </c>
      <c r="O280">
        <f t="shared" si="25"/>
        <v>165997</v>
      </c>
      <c r="P280">
        <f t="shared" si="26"/>
        <v>0.44511451179976991</v>
      </c>
      <c r="Q280">
        <v>18</v>
      </c>
      <c r="R280">
        <v>13140</v>
      </c>
      <c r="S280">
        <f t="shared" si="27"/>
        <v>4.9180327868852458E-2</v>
      </c>
      <c r="T280">
        <v>132</v>
      </c>
      <c r="U280">
        <v>4.45</v>
      </c>
      <c r="V280">
        <v>371318</v>
      </c>
      <c r="W280">
        <v>444992</v>
      </c>
      <c r="X280">
        <f t="shared" si="28"/>
        <v>1.1984121426917089</v>
      </c>
      <c r="Y280" t="str">
        <f t="shared" si="29"/>
        <v>Star</v>
      </c>
    </row>
    <row r="281" spans="1:25" x14ac:dyDescent="0.3">
      <c r="A281" t="s">
        <v>594</v>
      </c>
      <c r="B281" t="s">
        <v>595</v>
      </c>
      <c r="C281" t="s">
        <v>42</v>
      </c>
      <c r="D281" s="1">
        <v>45233</v>
      </c>
      <c r="E281">
        <v>514</v>
      </c>
      <c r="F281" t="s">
        <v>28</v>
      </c>
      <c r="G281">
        <v>8178</v>
      </c>
      <c r="H281">
        <v>5274</v>
      </c>
      <c r="I281">
        <v>120</v>
      </c>
      <c r="J281">
        <v>165</v>
      </c>
      <c r="K281">
        <v>1349370</v>
      </c>
      <c r="L281">
        <v>172941</v>
      </c>
      <c r="M281">
        <v>1176429</v>
      </c>
      <c r="N281">
        <f t="shared" si="24"/>
        <v>870210</v>
      </c>
      <c r="O281">
        <f t="shared" si="25"/>
        <v>306219</v>
      </c>
      <c r="P281">
        <f t="shared" si="26"/>
        <v>0.26029535144067345</v>
      </c>
      <c r="Q281">
        <v>4</v>
      </c>
      <c r="R281">
        <v>29440</v>
      </c>
      <c r="S281">
        <f t="shared" si="27"/>
        <v>3.3333333333333333E-2</v>
      </c>
      <c r="T281">
        <v>47</v>
      </c>
      <c r="U281">
        <v>3.9</v>
      </c>
      <c r="V281">
        <v>225753</v>
      </c>
      <c r="W281">
        <v>1707141</v>
      </c>
      <c r="X281">
        <f t="shared" si="28"/>
        <v>7.5619858872307342</v>
      </c>
      <c r="Y281" t="str">
        <f t="shared" si="29"/>
        <v>Weak Product</v>
      </c>
    </row>
    <row r="282" spans="1:25" x14ac:dyDescent="0.3">
      <c r="A282" t="s">
        <v>596</v>
      </c>
      <c r="B282" t="s">
        <v>597</v>
      </c>
      <c r="C282" t="s">
        <v>42</v>
      </c>
      <c r="D282" s="1">
        <v>45189</v>
      </c>
      <c r="E282">
        <v>558</v>
      </c>
      <c r="F282" t="s">
        <v>28</v>
      </c>
      <c r="G282">
        <v>16708</v>
      </c>
      <c r="H282">
        <v>9432</v>
      </c>
      <c r="I282">
        <v>43</v>
      </c>
      <c r="J282">
        <v>63</v>
      </c>
      <c r="K282">
        <v>1052604</v>
      </c>
      <c r="L282">
        <v>179983</v>
      </c>
      <c r="M282">
        <v>872621</v>
      </c>
      <c r="N282">
        <f t="shared" si="24"/>
        <v>594216</v>
      </c>
      <c r="O282">
        <f t="shared" si="25"/>
        <v>278405</v>
      </c>
      <c r="P282">
        <f t="shared" si="26"/>
        <v>0.31904457949098175</v>
      </c>
      <c r="Q282">
        <v>3</v>
      </c>
      <c r="R282">
        <v>45111</v>
      </c>
      <c r="S282">
        <f t="shared" si="27"/>
        <v>6.9767441860465115E-2</v>
      </c>
      <c r="T282">
        <v>16</v>
      </c>
      <c r="U282">
        <v>4.09</v>
      </c>
      <c r="V282">
        <v>486721</v>
      </c>
      <c r="W282">
        <v>4119470</v>
      </c>
      <c r="X282">
        <f t="shared" si="28"/>
        <v>8.4637194614573854</v>
      </c>
      <c r="Y282" t="str">
        <f t="shared" si="29"/>
        <v>Weak Product</v>
      </c>
    </row>
    <row r="283" spans="1:25" x14ac:dyDescent="0.3">
      <c r="A283" t="s">
        <v>598</v>
      </c>
      <c r="B283" t="s">
        <v>599</v>
      </c>
      <c r="C283" t="s">
        <v>42</v>
      </c>
      <c r="D283" s="1">
        <v>45627</v>
      </c>
      <c r="E283">
        <v>120</v>
      </c>
      <c r="F283" t="s">
        <v>28</v>
      </c>
      <c r="G283">
        <v>19815</v>
      </c>
      <c r="H283">
        <v>14296</v>
      </c>
      <c r="I283">
        <v>56</v>
      </c>
      <c r="J283">
        <v>82</v>
      </c>
      <c r="K283">
        <v>1624830</v>
      </c>
      <c r="L283">
        <v>275213</v>
      </c>
      <c r="M283">
        <v>1349617</v>
      </c>
      <c r="N283">
        <f t="shared" si="24"/>
        <v>1172272</v>
      </c>
      <c r="O283">
        <f t="shared" si="25"/>
        <v>177345</v>
      </c>
      <c r="P283">
        <f t="shared" si="26"/>
        <v>0.13140394645295667</v>
      </c>
      <c r="Q283">
        <v>6</v>
      </c>
      <c r="R283">
        <v>106998</v>
      </c>
      <c r="S283">
        <f t="shared" si="27"/>
        <v>0.10714285714285714</v>
      </c>
      <c r="T283">
        <v>16</v>
      </c>
      <c r="U283">
        <v>3.56</v>
      </c>
      <c r="V283">
        <v>513871</v>
      </c>
      <c r="W283">
        <v>10926890</v>
      </c>
      <c r="X283">
        <f t="shared" si="28"/>
        <v>21.263877510114405</v>
      </c>
      <c r="Y283" t="str">
        <f t="shared" si="29"/>
        <v>Weak Product</v>
      </c>
    </row>
    <row r="284" spans="1:25" x14ac:dyDescent="0.3">
      <c r="A284" t="s">
        <v>600</v>
      </c>
      <c r="B284" t="s">
        <v>601</v>
      </c>
      <c r="C284" t="s">
        <v>42</v>
      </c>
      <c r="D284" s="1">
        <v>45277</v>
      </c>
      <c r="E284">
        <v>470</v>
      </c>
      <c r="F284" t="s">
        <v>28</v>
      </c>
      <c r="G284">
        <v>18420</v>
      </c>
      <c r="H284">
        <v>8776</v>
      </c>
      <c r="I284">
        <v>87</v>
      </c>
      <c r="J284">
        <v>136</v>
      </c>
      <c r="K284">
        <v>2505120</v>
      </c>
      <c r="L284">
        <v>369645</v>
      </c>
      <c r="M284">
        <v>2135475</v>
      </c>
      <c r="N284">
        <f t="shared" si="24"/>
        <v>1193536</v>
      </c>
      <c r="O284">
        <f t="shared" si="25"/>
        <v>941939</v>
      </c>
      <c r="P284">
        <f t="shared" si="26"/>
        <v>0.44109109214577552</v>
      </c>
      <c r="Q284">
        <v>3</v>
      </c>
      <c r="R284">
        <v>49734</v>
      </c>
      <c r="S284">
        <f t="shared" si="27"/>
        <v>3.4482758620689655E-2</v>
      </c>
      <c r="T284">
        <v>28</v>
      </c>
      <c r="U284">
        <v>4.55</v>
      </c>
      <c r="V284">
        <v>607590</v>
      </c>
      <c r="W284">
        <v>15458667</v>
      </c>
      <c r="X284">
        <f t="shared" si="28"/>
        <v>25.442596158593787</v>
      </c>
      <c r="Y284" t="str">
        <f t="shared" si="29"/>
        <v>Star</v>
      </c>
    </row>
    <row r="285" spans="1:25" x14ac:dyDescent="0.3">
      <c r="A285" t="s">
        <v>602</v>
      </c>
      <c r="B285" t="s">
        <v>603</v>
      </c>
      <c r="C285" t="s">
        <v>42</v>
      </c>
      <c r="D285" s="1">
        <v>44992</v>
      </c>
      <c r="E285">
        <v>755</v>
      </c>
      <c r="F285" t="s">
        <v>28</v>
      </c>
      <c r="G285">
        <v>2707</v>
      </c>
      <c r="H285">
        <v>2336</v>
      </c>
      <c r="I285">
        <v>206</v>
      </c>
      <c r="J285">
        <v>310</v>
      </c>
      <c r="K285">
        <v>839170</v>
      </c>
      <c r="L285">
        <v>76291</v>
      </c>
      <c r="M285">
        <v>762879</v>
      </c>
      <c r="N285">
        <f t="shared" si="24"/>
        <v>724160</v>
      </c>
      <c r="O285">
        <f t="shared" si="25"/>
        <v>38719</v>
      </c>
      <c r="P285">
        <f t="shared" si="26"/>
        <v>5.0753789264090375E-2</v>
      </c>
      <c r="Q285">
        <v>4</v>
      </c>
      <c r="R285">
        <v>9744</v>
      </c>
      <c r="S285">
        <f t="shared" si="27"/>
        <v>1.9417475728155338E-2</v>
      </c>
      <c r="T285">
        <v>90</v>
      </c>
      <c r="U285">
        <v>3.07</v>
      </c>
      <c r="V285">
        <v>466007</v>
      </c>
      <c r="W285">
        <v>761813</v>
      </c>
      <c r="X285">
        <f t="shared" si="28"/>
        <v>1.6347672889033855</v>
      </c>
      <c r="Y285" t="str">
        <f t="shared" si="29"/>
        <v>Weak Product</v>
      </c>
    </row>
    <row r="286" spans="1:25" x14ac:dyDescent="0.3">
      <c r="A286" t="s">
        <v>604</v>
      </c>
      <c r="B286" t="s">
        <v>605</v>
      </c>
      <c r="C286" t="s">
        <v>42</v>
      </c>
      <c r="D286" s="1">
        <v>45150</v>
      </c>
      <c r="E286">
        <v>597</v>
      </c>
      <c r="F286" t="s">
        <v>28</v>
      </c>
      <c r="G286">
        <v>3297</v>
      </c>
      <c r="H286">
        <v>2959</v>
      </c>
      <c r="I286">
        <v>84</v>
      </c>
      <c r="J286">
        <v>132</v>
      </c>
      <c r="K286">
        <v>435204</v>
      </c>
      <c r="L286">
        <v>39254</v>
      </c>
      <c r="M286">
        <v>395950</v>
      </c>
      <c r="N286">
        <f t="shared" si="24"/>
        <v>390588</v>
      </c>
      <c r="O286">
        <f t="shared" si="25"/>
        <v>5362</v>
      </c>
      <c r="P286">
        <f t="shared" si="26"/>
        <v>1.3542113903270614E-2</v>
      </c>
      <c r="Q286">
        <v>6</v>
      </c>
      <c r="R286">
        <v>17802</v>
      </c>
      <c r="S286">
        <f t="shared" si="27"/>
        <v>7.1428571428571425E-2</v>
      </c>
      <c r="T286">
        <v>36</v>
      </c>
      <c r="U286">
        <v>2.81</v>
      </c>
      <c r="V286">
        <v>405084</v>
      </c>
      <c r="W286">
        <v>1864591</v>
      </c>
      <c r="X286">
        <f t="shared" si="28"/>
        <v>4.6029737042193721</v>
      </c>
      <c r="Y286" t="str">
        <f t="shared" si="29"/>
        <v>Weak Product</v>
      </c>
    </row>
    <row r="287" spans="1:25" x14ac:dyDescent="0.3">
      <c r="A287" t="s">
        <v>606</v>
      </c>
      <c r="B287" t="s">
        <v>607</v>
      </c>
      <c r="C287" t="s">
        <v>42</v>
      </c>
      <c r="D287" s="1">
        <v>45252</v>
      </c>
      <c r="E287">
        <v>495</v>
      </c>
      <c r="F287" t="s">
        <v>28</v>
      </c>
      <c r="G287">
        <v>18550</v>
      </c>
      <c r="H287">
        <v>12064</v>
      </c>
      <c r="I287">
        <v>83</v>
      </c>
      <c r="J287">
        <v>125</v>
      </c>
      <c r="K287">
        <v>2318750</v>
      </c>
      <c r="L287">
        <v>312277</v>
      </c>
      <c r="M287">
        <v>2006473</v>
      </c>
      <c r="N287">
        <f t="shared" si="24"/>
        <v>1508000</v>
      </c>
      <c r="O287">
        <f t="shared" si="25"/>
        <v>498473</v>
      </c>
      <c r="P287">
        <f t="shared" si="26"/>
        <v>0.24843244838081549</v>
      </c>
      <c r="Q287">
        <v>6</v>
      </c>
      <c r="R287">
        <v>100170</v>
      </c>
      <c r="S287">
        <f t="shared" si="27"/>
        <v>7.2289156626506021E-2</v>
      </c>
      <c r="T287">
        <v>45</v>
      </c>
      <c r="U287">
        <v>3.89</v>
      </c>
      <c r="V287">
        <v>597108</v>
      </c>
      <c r="W287">
        <v>19382525</v>
      </c>
      <c r="X287">
        <f t="shared" si="28"/>
        <v>32.460668756740823</v>
      </c>
      <c r="Y287" t="str">
        <f t="shared" si="29"/>
        <v>Weak Product</v>
      </c>
    </row>
    <row r="288" spans="1:25" x14ac:dyDescent="0.3">
      <c r="A288" t="s">
        <v>608</v>
      </c>
      <c r="B288" t="s">
        <v>609</v>
      </c>
      <c r="C288" t="s">
        <v>42</v>
      </c>
      <c r="D288" s="1">
        <v>45258</v>
      </c>
      <c r="E288">
        <v>489</v>
      </c>
      <c r="F288" t="s">
        <v>28</v>
      </c>
      <c r="G288">
        <v>12922</v>
      </c>
      <c r="H288">
        <v>11558</v>
      </c>
      <c r="I288">
        <v>102</v>
      </c>
      <c r="J288">
        <v>149</v>
      </c>
      <c r="K288">
        <v>1925378</v>
      </c>
      <c r="L288">
        <v>237349</v>
      </c>
      <c r="M288">
        <v>1688029</v>
      </c>
      <c r="N288">
        <f t="shared" si="24"/>
        <v>1722142</v>
      </c>
      <c r="O288">
        <f t="shared" si="25"/>
        <v>-34113</v>
      </c>
      <c r="P288">
        <f t="shared" si="26"/>
        <v>-2.0208776034061026E-2</v>
      </c>
      <c r="Q288">
        <v>7</v>
      </c>
      <c r="R288">
        <v>81403</v>
      </c>
      <c r="S288">
        <f t="shared" si="27"/>
        <v>6.8627450980392163E-2</v>
      </c>
      <c r="T288">
        <v>36</v>
      </c>
      <c r="U288">
        <v>2.85</v>
      </c>
      <c r="V288">
        <v>121931</v>
      </c>
      <c r="W288">
        <v>514746</v>
      </c>
      <c r="X288">
        <f t="shared" si="28"/>
        <v>4.2216171441224954</v>
      </c>
      <c r="Y288" t="str">
        <f t="shared" si="29"/>
        <v>Weak Product</v>
      </c>
    </row>
    <row r="289" spans="1:25" x14ac:dyDescent="0.3">
      <c r="A289" t="s">
        <v>610</v>
      </c>
      <c r="B289" t="s">
        <v>611</v>
      </c>
      <c r="C289" t="s">
        <v>42</v>
      </c>
      <c r="D289" s="1">
        <v>45110</v>
      </c>
      <c r="E289">
        <v>637</v>
      </c>
      <c r="F289" t="s">
        <v>28</v>
      </c>
      <c r="G289">
        <v>12774</v>
      </c>
      <c r="H289">
        <v>10522</v>
      </c>
      <c r="I289">
        <v>88</v>
      </c>
      <c r="J289">
        <v>131</v>
      </c>
      <c r="K289">
        <v>1673394</v>
      </c>
      <c r="L289">
        <v>183881</v>
      </c>
      <c r="M289">
        <v>1489513</v>
      </c>
      <c r="N289">
        <f t="shared" si="24"/>
        <v>1378382</v>
      </c>
      <c r="O289">
        <f t="shared" si="25"/>
        <v>111131</v>
      </c>
      <c r="P289">
        <f t="shared" si="26"/>
        <v>7.4608949368014918E-2</v>
      </c>
      <c r="Q289">
        <v>3</v>
      </c>
      <c r="R289">
        <v>34488</v>
      </c>
      <c r="S289">
        <f t="shared" si="27"/>
        <v>3.4090909090909088E-2</v>
      </c>
      <c r="T289">
        <v>32</v>
      </c>
      <c r="U289">
        <v>3.38</v>
      </c>
      <c r="V289">
        <v>99894</v>
      </c>
      <c r="W289">
        <v>1652636</v>
      </c>
      <c r="X289">
        <f t="shared" si="28"/>
        <v>16.54389653032214</v>
      </c>
      <c r="Y289" t="str">
        <f t="shared" si="29"/>
        <v>Weak Product</v>
      </c>
    </row>
    <row r="290" spans="1:25" x14ac:dyDescent="0.3">
      <c r="A290" t="s">
        <v>612</v>
      </c>
      <c r="B290" t="s">
        <v>613</v>
      </c>
      <c r="C290" t="s">
        <v>42</v>
      </c>
      <c r="D290" s="1">
        <v>45087</v>
      </c>
      <c r="E290">
        <v>660</v>
      </c>
      <c r="F290" t="s">
        <v>28</v>
      </c>
      <c r="G290">
        <v>2819</v>
      </c>
      <c r="H290">
        <v>2078</v>
      </c>
      <c r="I290">
        <v>141</v>
      </c>
      <c r="J290">
        <v>215</v>
      </c>
      <c r="K290">
        <v>606085</v>
      </c>
      <c r="L290">
        <v>113293</v>
      </c>
      <c r="M290">
        <v>492792</v>
      </c>
      <c r="N290">
        <f t="shared" si="24"/>
        <v>446770</v>
      </c>
      <c r="O290">
        <f t="shared" si="25"/>
        <v>46022</v>
      </c>
      <c r="P290">
        <f t="shared" si="26"/>
        <v>9.3390314777837297E-2</v>
      </c>
      <c r="Q290">
        <v>7</v>
      </c>
      <c r="R290">
        <v>17759</v>
      </c>
      <c r="S290">
        <f t="shared" si="27"/>
        <v>4.9645390070921988E-2</v>
      </c>
      <c r="T290">
        <v>47</v>
      </c>
      <c r="U290">
        <v>3.33</v>
      </c>
      <c r="V290">
        <v>172951</v>
      </c>
      <c r="W290">
        <v>575217</v>
      </c>
      <c r="X290">
        <f t="shared" si="28"/>
        <v>3.3258957739475341</v>
      </c>
      <c r="Y290" t="str">
        <f t="shared" si="29"/>
        <v>Weak Product</v>
      </c>
    </row>
    <row r="291" spans="1:25" x14ac:dyDescent="0.3">
      <c r="A291" t="s">
        <v>614</v>
      </c>
      <c r="B291" t="s">
        <v>615</v>
      </c>
      <c r="C291" t="s">
        <v>42</v>
      </c>
      <c r="D291" s="1">
        <v>45175</v>
      </c>
      <c r="E291">
        <v>572</v>
      </c>
      <c r="F291" t="s">
        <v>28</v>
      </c>
      <c r="G291">
        <v>520</v>
      </c>
      <c r="H291">
        <v>245</v>
      </c>
      <c r="I291">
        <v>197</v>
      </c>
      <c r="J291">
        <v>292</v>
      </c>
      <c r="K291">
        <v>151840</v>
      </c>
      <c r="L291">
        <v>27494</v>
      </c>
      <c r="M291">
        <v>124346</v>
      </c>
      <c r="N291">
        <f t="shared" si="24"/>
        <v>71540</v>
      </c>
      <c r="O291">
        <f t="shared" si="25"/>
        <v>52806</v>
      </c>
      <c r="P291">
        <f t="shared" si="26"/>
        <v>0.42466987277435542</v>
      </c>
      <c r="Q291">
        <v>26</v>
      </c>
      <c r="R291">
        <v>12168</v>
      </c>
      <c r="S291">
        <f t="shared" si="27"/>
        <v>0.13197969543147209</v>
      </c>
      <c r="T291">
        <v>82</v>
      </c>
      <c r="U291">
        <v>4.57</v>
      </c>
      <c r="V291">
        <v>613776</v>
      </c>
      <c r="W291">
        <v>407416</v>
      </c>
      <c r="X291">
        <f t="shared" si="28"/>
        <v>0.66378613696201871</v>
      </c>
      <c r="Y291" t="str">
        <f t="shared" si="29"/>
        <v>Weak Product</v>
      </c>
    </row>
    <row r="292" spans="1:25" x14ac:dyDescent="0.3">
      <c r="A292" t="s">
        <v>616</v>
      </c>
      <c r="B292" t="s">
        <v>617</v>
      </c>
      <c r="C292" t="s">
        <v>42</v>
      </c>
      <c r="D292" s="1">
        <v>45452</v>
      </c>
      <c r="E292">
        <v>295</v>
      </c>
      <c r="F292" t="s">
        <v>28</v>
      </c>
      <c r="G292">
        <v>4759</v>
      </c>
      <c r="H292">
        <v>3639</v>
      </c>
      <c r="I292">
        <v>172</v>
      </c>
      <c r="J292">
        <v>249</v>
      </c>
      <c r="K292">
        <v>1184991</v>
      </c>
      <c r="L292">
        <v>198725</v>
      </c>
      <c r="M292">
        <v>986266</v>
      </c>
      <c r="N292">
        <f t="shared" si="24"/>
        <v>906111</v>
      </c>
      <c r="O292">
        <f t="shared" si="25"/>
        <v>80155</v>
      </c>
      <c r="P292">
        <f t="shared" si="26"/>
        <v>8.1271178363646321E-2</v>
      </c>
      <c r="Q292">
        <v>6</v>
      </c>
      <c r="R292">
        <v>25698</v>
      </c>
      <c r="S292">
        <f t="shared" si="27"/>
        <v>3.4883720930232558E-2</v>
      </c>
      <c r="T292">
        <v>61</v>
      </c>
      <c r="U292">
        <v>3.5</v>
      </c>
      <c r="V292">
        <v>289984</v>
      </c>
      <c r="W292">
        <v>1402708</v>
      </c>
      <c r="X292">
        <f t="shared" si="28"/>
        <v>4.8371910174354449</v>
      </c>
      <c r="Y292" t="str">
        <f t="shared" si="29"/>
        <v>Weak Product</v>
      </c>
    </row>
    <row r="293" spans="1:25" x14ac:dyDescent="0.3">
      <c r="A293" t="s">
        <v>618</v>
      </c>
      <c r="B293" t="s">
        <v>619</v>
      </c>
      <c r="C293" t="s">
        <v>42</v>
      </c>
      <c r="D293" s="1">
        <v>45635</v>
      </c>
      <c r="E293">
        <v>112</v>
      </c>
      <c r="F293" t="s">
        <v>28</v>
      </c>
      <c r="G293">
        <v>16388</v>
      </c>
      <c r="H293">
        <v>7612</v>
      </c>
      <c r="I293">
        <v>50</v>
      </c>
      <c r="J293">
        <v>79</v>
      </c>
      <c r="K293">
        <v>1294652</v>
      </c>
      <c r="L293">
        <v>204393</v>
      </c>
      <c r="M293">
        <v>1090259</v>
      </c>
      <c r="N293">
        <f t="shared" si="24"/>
        <v>601348</v>
      </c>
      <c r="O293">
        <f t="shared" si="25"/>
        <v>488911</v>
      </c>
      <c r="P293">
        <f t="shared" si="26"/>
        <v>0.44843564694260724</v>
      </c>
      <c r="Q293">
        <v>3</v>
      </c>
      <c r="R293">
        <v>44247</v>
      </c>
      <c r="S293">
        <f t="shared" si="27"/>
        <v>0.06</v>
      </c>
      <c r="T293">
        <v>21</v>
      </c>
      <c r="U293">
        <v>4.6399999999999997</v>
      </c>
      <c r="V293">
        <v>660647</v>
      </c>
      <c r="W293">
        <v>13001378</v>
      </c>
      <c r="X293">
        <f t="shared" si="28"/>
        <v>19.679765442059072</v>
      </c>
      <c r="Y293" t="str">
        <f t="shared" si="29"/>
        <v>Weak Product</v>
      </c>
    </row>
    <row r="294" spans="1:25" x14ac:dyDescent="0.3">
      <c r="A294" t="s">
        <v>620</v>
      </c>
      <c r="B294" t="s">
        <v>621</v>
      </c>
      <c r="C294" t="s">
        <v>42</v>
      </c>
      <c r="D294" s="1">
        <v>45393</v>
      </c>
      <c r="E294">
        <v>354</v>
      </c>
      <c r="F294" t="s">
        <v>28</v>
      </c>
      <c r="G294">
        <v>6846</v>
      </c>
      <c r="H294">
        <v>4336</v>
      </c>
      <c r="I294">
        <v>49</v>
      </c>
      <c r="J294">
        <v>80</v>
      </c>
      <c r="K294">
        <v>547680</v>
      </c>
      <c r="L294">
        <v>68283</v>
      </c>
      <c r="M294">
        <v>479397</v>
      </c>
      <c r="N294">
        <f t="shared" si="24"/>
        <v>346880</v>
      </c>
      <c r="O294">
        <f t="shared" si="25"/>
        <v>132517</v>
      </c>
      <c r="P294">
        <f t="shared" si="26"/>
        <v>0.27642434141223243</v>
      </c>
      <c r="Q294">
        <v>1</v>
      </c>
      <c r="R294">
        <v>6161</v>
      </c>
      <c r="S294">
        <f t="shared" si="27"/>
        <v>2.0408163265306121E-2</v>
      </c>
      <c r="T294">
        <v>21</v>
      </c>
      <c r="U294">
        <v>3.9</v>
      </c>
      <c r="V294">
        <v>119873</v>
      </c>
      <c r="W294">
        <v>582148</v>
      </c>
      <c r="X294">
        <f t="shared" si="28"/>
        <v>4.8563729947527801</v>
      </c>
      <c r="Y294" t="str">
        <f t="shared" si="29"/>
        <v>Weak Product</v>
      </c>
    </row>
    <row r="295" spans="1:25" x14ac:dyDescent="0.3">
      <c r="A295" t="s">
        <v>622</v>
      </c>
      <c r="B295" t="s">
        <v>623</v>
      </c>
      <c r="C295" t="s">
        <v>42</v>
      </c>
      <c r="D295" s="1">
        <v>45649</v>
      </c>
      <c r="E295">
        <v>98</v>
      </c>
      <c r="F295" t="s">
        <v>28</v>
      </c>
      <c r="G295">
        <v>2565</v>
      </c>
      <c r="H295">
        <v>1363</v>
      </c>
      <c r="I295">
        <v>200</v>
      </c>
      <c r="J295">
        <v>291</v>
      </c>
      <c r="K295">
        <v>746415</v>
      </c>
      <c r="L295">
        <v>92493</v>
      </c>
      <c r="M295">
        <v>653922</v>
      </c>
      <c r="N295">
        <f t="shared" si="24"/>
        <v>396633</v>
      </c>
      <c r="O295">
        <f t="shared" si="25"/>
        <v>257289</v>
      </c>
      <c r="P295">
        <f t="shared" si="26"/>
        <v>0.39345518272821528</v>
      </c>
      <c r="Q295">
        <v>10</v>
      </c>
      <c r="R295">
        <v>23080</v>
      </c>
      <c r="S295">
        <f t="shared" si="27"/>
        <v>0.05</v>
      </c>
      <c r="T295">
        <v>76</v>
      </c>
      <c r="U295">
        <v>4.25</v>
      </c>
      <c r="V295">
        <v>157197</v>
      </c>
      <c r="W295">
        <v>853885</v>
      </c>
      <c r="X295">
        <f t="shared" si="28"/>
        <v>5.431942085408755</v>
      </c>
      <c r="Y295" t="str">
        <f t="shared" si="29"/>
        <v>Weak Product</v>
      </c>
    </row>
    <row r="296" spans="1:25" x14ac:dyDescent="0.3">
      <c r="A296" t="s">
        <v>624</v>
      </c>
      <c r="B296" t="s">
        <v>625</v>
      </c>
      <c r="C296" t="s">
        <v>42</v>
      </c>
      <c r="D296" s="1">
        <v>44910</v>
      </c>
      <c r="E296">
        <v>837</v>
      </c>
      <c r="F296" t="s">
        <v>28</v>
      </c>
      <c r="G296">
        <v>14164</v>
      </c>
      <c r="H296">
        <v>7718</v>
      </c>
      <c r="I296">
        <v>81</v>
      </c>
      <c r="J296">
        <v>117</v>
      </c>
      <c r="K296">
        <v>1657188</v>
      </c>
      <c r="L296">
        <v>172119</v>
      </c>
      <c r="M296">
        <v>1485069</v>
      </c>
      <c r="N296">
        <f t="shared" si="24"/>
        <v>903006</v>
      </c>
      <c r="O296">
        <f t="shared" si="25"/>
        <v>582063</v>
      </c>
      <c r="P296">
        <f t="shared" si="26"/>
        <v>0.39194340464988497</v>
      </c>
      <c r="Q296">
        <v>7</v>
      </c>
      <c r="R296">
        <v>89229</v>
      </c>
      <c r="S296">
        <f t="shared" si="27"/>
        <v>8.6419753086419748E-2</v>
      </c>
      <c r="T296">
        <v>30</v>
      </c>
      <c r="U296">
        <v>4.22</v>
      </c>
      <c r="V296">
        <v>184301</v>
      </c>
      <c r="W296">
        <v>3692881</v>
      </c>
      <c r="X296">
        <f t="shared" si="28"/>
        <v>20.037227144725204</v>
      </c>
      <c r="Y296" t="str">
        <f t="shared" si="29"/>
        <v>Weak Product</v>
      </c>
    </row>
    <row r="297" spans="1:25" x14ac:dyDescent="0.3">
      <c r="A297" t="s">
        <v>626</v>
      </c>
      <c r="B297" t="s">
        <v>627</v>
      </c>
      <c r="C297" t="s">
        <v>42</v>
      </c>
      <c r="D297" s="1">
        <v>45203</v>
      </c>
      <c r="E297">
        <v>544</v>
      </c>
      <c r="F297" t="s">
        <v>28</v>
      </c>
      <c r="G297">
        <v>18113</v>
      </c>
      <c r="H297">
        <v>16002</v>
      </c>
      <c r="I297">
        <v>72</v>
      </c>
      <c r="J297">
        <v>109</v>
      </c>
      <c r="K297">
        <v>1974317</v>
      </c>
      <c r="L297">
        <v>309942</v>
      </c>
      <c r="M297">
        <v>1664375</v>
      </c>
      <c r="N297">
        <f t="shared" si="24"/>
        <v>1744218</v>
      </c>
      <c r="O297">
        <f t="shared" si="25"/>
        <v>-79843</v>
      </c>
      <c r="P297">
        <f t="shared" si="26"/>
        <v>-4.7971761171610963E-2</v>
      </c>
      <c r="Q297">
        <v>2</v>
      </c>
      <c r="R297">
        <v>32602</v>
      </c>
      <c r="S297">
        <f t="shared" si="27"/>
        <v>2.7777777777777776E-2</v>
      </c>
      <c r="T297">
        <v>29</v>
      </c>
      <c r="U297">
        <v>2.93</v>
      </c>
      <c r="V297">
        <v>285616</v>
      </c>
      <c r="W297">
        <v>1593384</v>
      </c>
      <c r="X297">
        <f t="shared" si="28"/>
        <v>5.5787630945045095</v>
      </c>
      <c r="Y297" t="str">
        <f t="shared" si="29"/>
        <v>Weak Product</v>
      </c>
    </row>
    <row r="298" spans="1:25" x14ac:dyDescent="0.3">
      <c r="A298" t="s">
        <v>628</v>
      </c>
      <c r="B298" t="s">
        <v>629</v>
      </c>
      <c r="C298" t="s">
        <v>42</v>
      </c>
      <c r="D298" s="1">
        <v>45462</v>
      </c>
      <c r="E298">
        <v>285</v>
      </c>
      <c r="F298" t="s">
        <v>28</v>
      </c>
      <c r="G298">
        <v>11931</v>
      </c>
      <c r="H298">
        <v>9844</v>
      </c>
      <c r="I298">
        <v>64</v>
      </c>
      <c r="J298">
        <v>95</v>
      </c>
      <c r="K298">
        <v>1133445</v>
      </c>
      <c r="L298">
        <v>159613</v>
      </c>
      <c r="M298">
        <v>973832</v>
      </c>
      <c r="N298">
        <f t="shared" si="24"/>
        <v>935180</v>
      </c>
      <c r="O298">
        <f t="shared" si="25"/>
        <v>38652</v>
      </c>
      <c r="P298">
        <f t="shared" si="26"/>
        <v>3.9690624255518406E-2</v>
      </c>
      <c r="Q298">
        <v>4</v>
      </c>
      <c r="R298">
        <v>42948</v>
      </c>
      <c r="S298">
        <f t="shared" si="27"/>
        <v>6.25E-2</v>
      </c>
      <c r="T298">
        <v>27</v>
      </c>
      <c r="U298">
        <v>3.54</v>
      </c>
      <c r="V298">
        <v>284925</v>
      </c>
      <c r="W298">
        <v>2977721</v>
      </c>
      <c r="X298">
        <f t="shared" si="28"/>
        <v>10.450894094937265</v>
      </c>
      <c r="Y298" t="str">
        <f t="shared" si="29"/>
        <v>Weak Product</v>
      </c>
    </row>
    <row r="299" spans="1:25" x14ac:dyDescent="0.3">
      <c r="A299" t="s">
        <v>630</v>
      </c>
      <c r="B299" t="s">
        <v>631</v>
      </c>
      <c r="C299" t="s">
        <v>42</v>
      </c>
      <c r="D299" s="1">
        <v>44935</v>
      </c>
      <c r="E299">
        <v>812</v>
      </c>
      <c r="F299" t="s">
        <v>28</v>
      </c>
      <c r="G299">
        <v>14404</v>
      </c>
      <c r="H299">
        <v>12276</v>
      </c>
      <c r="I299">
        <v>50</v>
      </c>
      <c r="J299">
        <v>79</v>
      </c>
      <c r="K299">
        <v>1137916</v>
      </c>
      <c r="L299">
        <v>207851</v>
      </c>
      <c r="M299">
        <v>930065</v>
      </c>
      <c r="N299">
        <f t="shared" si="24"/>
        <v>969804</v>
      </c>
      <c r="O299">
        <f t="shared" si="25"/>
        <v>-39739</v>
      </c>
      <c r="P299">
        <f t="shared" si="26"/>
        <v>-4.2727121222710239E-2</v>
      </c>
      <c r="Q299">
        <v>1</v>
      </c>
      <c r="R299">
        <v>12963</v>
      </c>
      <c r="S299">
        <f t="shared" si="27"/>
        <v>0.02</v>
      </c>
      <c r="T299">
        <v>18</v>
      </c>
      <c r="U299">
        <v>3.14</v>
      </c>
      <c r="V299">
        <v>140953</v>
      </c>
      <c r="W299">
        <v>3184544</v>
      </c>
      <c r="X299">
        <f t="shared" si="28"/>
        <v>22.592949422857263</v>
      </c>
      <c r="Y299" t="str">
        <f t="shared" si="29"/>
        <v>Weak Product</v>
      </c>
    </row>
    <row r="300" spans="1:25" x14ac:dyDescent="0.3">
      <c r="A300" t="s">
        <v>632</v>
      </c>
      <c r="B300" t="s">
        <v>633</v>
      </c>
      <c r="C300" t="s">
        <v>42</v>
      </c>
      <c r="D300" s="1">
        <v>45309</v>
      </c>
      <c r="E300">
        <v>438</v>
      </c>
      <c r="F300" t="s">
        <v>28</v>
      </c>
      <c r="G300">
        <v>14906</v>
      </c>
      <c r="H300">
        <v>10905</v>
      </c>
      <c r="I300">
        <v>34</v>
      </c>
      <c r="J300">
        <v>51</v>
      </c>
      <c r="K300">
        <v>760206</v>
      </c>
      <c r="L300">
        <v>108299</v>
      </c>
      <c r="M300">
        <v>651907</v>
      </c>
      <c r="N300">
        <f t="shared" si="24"/>
        <v>556155</v>
      </c>
      <c r="O300">
        <f t="shared" si="25"/>
        <v>95752</v>
      </c>
      <c r="P300">
        <f t="shared" si="26"/>
        <v>0.14687984635845297</v>
      </c>
      <c r="Q300">
        <v>2</v>
      </c>
      <c r="R300">
        <v>26830</v>
      </c>
      <c r="S300">
        <f t="shared" si="27"/>
        <v>5.8823529411764705E-2</v>
      </c>
      <c r="T300">
        <v>15</v>
      </c>
      <c r="U300">
        <v>3.67</v>
      </c>
      <c r="V300">
        <v>153451</v>
      </c>
      <c r="W300">
        <v>2351252</v>
      </c>
      <c r="X300">
        <f t="shared" si="28"/>
        <v>15.322493825390515</v>
      </c>
      <c r="Y300" t="str">
        <f t="shared" si="29"/>
        <v>Weak Product</v>
      </c>
    </row>
    <row r="301" spans="1:25" x14ac:dyDescent="0.3">
      <c r="A301" t="s">
        <v>634</v>
      </c>
      <c r="B301" t="s">
        <v>635</v>
      </c>
      <c r="C301" t="s">
        <v>42</v>
      </c>
      <c r="D301" s="1">
        <v>44922</v>
      </c>
      <c r="E301">
        <v>825</v>
      </c>
      <c r="F301" t="s">
        <v>28</v>
      </c>
      <c r="G301">
        <v>3724</v>
      </c>
      <c r="H301">
        <v>2856</v>
      </c>
      <c r="I301">
        <v>103</v>
      </c>
      <c r="J301">
        <v>154</v>
      </c>
      <c r="K301">
        <v>573496</v>
      </c>
      <c r="L301">
        <v>91350</v>
      </c>
      <c r="M301">
        <v>482146</v>
      </c>
      <c r="N301">
        <f t="shared" si="24"/>
        <v>439824</v>
      </c>
      <c r="O301">
        <f t="shared" si="25"/>
        <v>42322</v>
      </c>
      <c r="P301">
        <f t="shared" si="26"/>
        <v>8.7778390777897147E-2</v>
      </c>
      <c r="Q301">
        <v>10</v>
      </c>
      <c r="R301">
        <v>33510</v>
      </c>
      <c r="S301">
        <f t="shared" si="27"/>
        <v>9.7087378640776698E-2</v>
      </c>
      <c r="T301">
        <v>44</v>
      </c>
      <c r="U301">
        <v>3.36</v>
      </c>
      <c r="V301">
        <v>774871</v>
      </c>
      <c r="W301">
        <v>3241192</v>
      </c>
      <c r="X301">
        <f t="shared" si="28"/>
        <v>4.1828794728412859</v>
      </c>
      <c r="Y301" t="str">
        <f t="shared" si="29"/>
        <v>Weak Product</v>
      </c>
    </row>
    <row r="302" spans="1:25" x14ac:dyDescent="0.3">
      <c r="A302" t="s">
        <v>636</v>
      </c>
      <c r="B302" t="s">
        <v>637</v>
      </c>
      <c r="C302" t="s">
        <v>42</v>
      </c>
      <c r="D302" s="1">
        <v>45322</v>
      </c>
      <c r="E302">
        <v>425</v>
      </c>
      <c r="F302" t="s">
        <v>28</v>
      </c>
      <c r="G302">
        <v>17374</v>
      </c>
      <c r="H302">
        <v>11860</v>
      </c>
      <c r="I302">
        <v>83</v>
      </c>
      <c r="J302">
        <v>127</v>
      </c>
      <c r="K302">
        <v>2206498</v>
      </c>
      <c r="L302">
        <v>400219</v>
      </c>
      <c r="M302">
        <v>1806279</v>
      </c>
      <c r="N302">
        <f t="shared" si="24"/>
        <v>1506220</v>
      </c>
      <c r="O302">
        <f t="shared" si="25"/>
        <v>300059</v>
      </c>
      <c r="P302">
        <f t="shared" si="26"/>
        <v>0.16611996264143025</v>
      </c>
      <c r="Q302">
        <v>6</v>
      </c>
      <c r="R302">
        <v>93816</v>
      </c>
      <c r="S302">
        <f t="shared" si="27"/>
        <v>7.2289156626506021E-2</v>
      </c>
      <c r="T302">
        <v>28</v>
      </c>
      <c r="U302">
        <v>3.75</v>
      </c>
      <c r="V302">
        <v>484869</v>
      </c>
      <c r="W302">
        <v>10995849</v>
      </c>
      <c r="X302">
        <f t="shared" si="28"/>
        <v>22.677979000513542</v>
      </c>
      <c r="Y302" t="str">
        <f t="shared" si="29"/>
        <v>Weak Product</v>
      </c>
    </row>
    <row r="303" spans="1:25" x14ac:dyDescent="0.3">
      <c r="A303" t="s">
        <v>638</v>
      </c>
      <c r="B303" t="s">
        <v>639</v>
      </c>
      <c r="C303" t="s">
        <v>42</v>
      </c>
      <c r="D303" s="1">
        <v>45498</v>
      </c>
      <c r="E303">
        <v>249</v>
      </c>
      <c r="F303" t="s">
        <v>28</v>
      </c>
      <c r="G303">
        <v>1039</v>
      </c>
      <c r="H303">
        <v>538</v>
      </c>
      <c r="I303">
        <v>171</v>
      </c>
      <c r="J303">
        <v>270</v>
      </c>
      <c r="K303">
        <v>280530</v>
      </c>
      <c r="L303">
        <v>35363</v>
      </c>
      <c r="M303">
        <v>245167</v>
      </c>
      <c r="N303">
        <f t="shared" si="24"/>
        <v>145260</v>
      </c>
      <c r="O303">
        <f t="shared" si="25"/>
        <v>99907</v>
      </c>
      <c r="P303">
        <f t="shared" si="26"/>
        <v>0.40750590413881149</v>
      </c>
      <c r="Q303">
        <v>15</v>
      </c>
      <c r="R303">
        <v>14025</v>
      </c>
      <c r="S303">
        <f t="shared" si="27"/>
        <v>8.771929824561403E-2</v>
      </c>
      <c r="T303">
        <v>57</v>
      </c>
      <c r="U303">
        <v>4.46</v>
      </c>
      <c r="V303">
        <v>684314</v>
      </c>
      <c r="W303">
        <v>399541</v>
      </c>
      <c r="X303">
        <f t="shared" si="28"/>
        <v>0.58385624143302639</v>
      </c>
      <c r="Y303" t="str">
        <f t="shared" si="29"/>
        <v>Weak Product</v>
      </c>
    </row>
    <row r="304" spans="1:25" x14ac:dyDescent="0.3">
      <c r="A304" t="s">
        <v>640</v>
      </c>
      <c r="B304" t="s">
        <v>641</v>
      </c>
      <c r="C304" t="s">
        <v>42</v>
      </c>
      <c r="D304" s="1">
        <v>45408</v>
      </c>
      <c r="E304">
        <v>339</v>
      </c>
      <c r="F304" t="s">
        <v>28</v>
      </c>
      <c r="G304">
        <v>18383</v>
      </c>
      <c r="H304">
        <v>15220</v>
      </c>
      <c r="I304">
        <v>58</v>
      </c>
      <c r="J304">
        <v>89</v>
      </c>
      <c r="K304">
        <v>1636087</v>
      </c>
      <c r="L304">
        <v>191832</v>
      </c>
      <c r="M304">
        <v>1444255</v>
      </c>
      <c r="N304">
        <f t="shared" si="24"/>
        <v>1354580</v>
      </c>
      <c r="O304">
        <f t="shared" si="25"/>
        <v>89675</v>
      </c>
      <c r="P304">
        <f t="shared" si="26"/>
        <v>6.2090835759613085E-2</v>
      </c>
      <c r="Q304">
        <v>1</v>
      </c>
      <c r="R304">
        <v>16544</v>
      </c>
      <c r="S304">
        <f t="shared" si="27"/>
        <v>1.7241379310344827E-2</v>
      </c>
      <c r="T304">
        <v>26</v>
      </c>
      <c r="U304">
        <v>3.12</v>
      </c>
      <c r="V304">
        <v>119661</v>
      </c>
      <c r="W304">
        <v>2218291</v>
      </c>
      <c r="X304">
        <f t="shared" si="28"/>
        <v>18.538128546477132</v>
      </c>
      <c r="Y304" t="str">
        <f t="shared" si="29"/>
        <v>Weak Product</v>
      </c>
    </row>
    <row r="305" spans="1:25" x14ac:dyDescent="0.3">
      <c r="A305" t="s">
        <v>642</v>
      </c>
      <c r="B305" t="s">
        <v>643</v>
      </c>
      <c r="C305" t="s">
        <v>42</v>
      </c>
      <c r="D305" s="1">
        <v>45463</v>
      </c>
      <c r="E305">
        <v>284</v>
      </c>
      <c r="F305" t="s">
        <v>28</v>
      </c>
      <c r="G305">
        <v>13261</v>
      </c>
      <c r="H305">
        <v>11760</v>
      </c>
      <c r="I305">
        <v>44</v>
      </c>
      <c r="J305">
        <v>66</v>
      </c>
      <c r="K305">
        <v>875226</v>
      </c>
      <c r="L305">
        <v>136053</v>
      </c>
      <c r="M305">
        <v>739173</v>
      </c>
      <c r="N305">
        <f t="shared" si="24"/>
        <v>776160</v>
      </c>
      <c r="O305">
        <f t="shared" si="25"/>
        <v>-36987</v>
      </c>
      <c r="P305">
        <f t="shared" si="26"/>
        <v>-5.003835367363256E-2</v>
      </c>
      <c r="Q305">
        <v>2</v>
      </c>
      <c r="R305">
        <v>23868</v>
      </c>
      <c r="S305">
        <f t="shared" si="27"/>
        <v>4.5454545454545456E-2</v>
      </c>
      <c r="T305">
        <v>22</v>
      </c>
      <c r="U305">
        <v>2.95</v>
      </c>
      <c r="V305">
        <v>391682</v>
      </c>
      <c r="W305">
        <v>6248446</v>
      </c>
      <c r="X305">
        <f t="shared" si="28"/>
        <v>15.952854611649245</v>
      </c>
      <c r="Y305" t="str">
        <f t="shared" si="29"/>
        <v>Weak Product</v>
      </c>
    </row>
    <row r="306" spans="1:25" x14ac:dyDescent="0.3">
      <c r="A306" t="s">
        <v>644</v>
      </c>
      <c r="B306" t="s">
        <v>645</v>
      </c>
      <c r="C306" t="s">
        <v>42</v>
      </c>
      <c r="D306" s="1">
        <v>45650</v>
      </c>
      <c r="E306">
        <v>97</v>
      </c>
      <c r="F306" t="s">
        <v>28</v>
      </c>
      <c r="G306">
        <v>9419</v>
      </c>
      <c r="H306">
        <v>5288</v>
      </c>
      <c r="I306">
        <v>58</v>
      </c>
      <c r="J306">
        <v>87</v>
      </c>
      <c r="K306">
        <v>819453</v>
      </c>
      <c r="L306">
        <v>121926</v>
      </c>
      <c r="M306">
        <v>697527</v>
      </c>
      <c r="N306">
        <f t="shared" si="24"/>
        <v>460056</v>
      </c>
      <c r="O306">
        <f t="shared" si="25"/>
        <v>237471</v>
      </c>
      <c r="P306">
        <f t="shared" si="26"/>
        <v>0.34044703645880375</v>
      </c>
      <c r="Q306">
        <v>5</v>
      </c>
      <c r="R306">
        <v>42385</v>
      </c>
      <c r="S306">
        <f t="shared" si="27"/>
        <v>8.6206896551724144E-2</v>
      </c>
      <c r="T306">
        <v>28</v>
      </c>
      <c r="U306">
        <v>4.2300000000000004</v>
      </c>
      <c r="V306">
        <v>677321</v>
      </c>
      <c r="W306">
        <v>6322024</v>
      </c>
      <c r="X306">
        <f t="shared" si="28"/>
        <v>9.3338668076141147</v>
      </c>
      <c r="Y306" t="str">
        <f t="shared" si="29"/>
        <v>Weak Product</v>
      </c>
    </row>
    <row r="307" spans="1:25" x14ac:dyDescent="0.3">
      <c r="A307" t="s">
        <v>646</v>
      </c>
      <c r="B307" t="s">
        <v>647</v>
      </c>
      <c r="C307" t="s">
        <v>42</v>
      </c>
      <c r="D307" s="1">
        <v>45521</v>
      </c>
      <c r="E307">
        <v>226</v>
      </c>
      <c r="F307" t="s">
        <v>28</v>
      </c>
      <c r="G307">
        <v>15292</v>
      </c>
      <c r="H307">
        <v>12978</v>
      </c>
      <c r="I307">
        <v>46</v>
      </c>
      <c r="J307">
        <v>67</v>
      </c>
      <c r="K307">
        <v>1024564</v>
      </c>
      <c r="L307">
        <v>139632</v>
      </c>
      <c r="M307">
        <v>884932</v>
      </c>
      <c r="N307">
        <f t="shared" si="24"/>
        <v>869526</v>
      </c>
      <c r="O307">
        <f t="shared" si="25"/>
        <v>15406</v>
      </c>
      <c r="P307">
        <f t="shared" si="26"/>
        <v>1.740924726419657E-2</v>
      </c>
      <c r="Q307">
        <v>6</v>
      </c>
      <c r="R307">
        <v>82572</v>
      </c>
      <c r="S307">
        <f t="shared" si="27"/>
        <v>0.13043478260869565</v>
      </c>
      <c r="T307">
        <v>14</v>
      </c>
      <c r="U307">
        <v>3</v>
      </c>
      <c r="V307">
        <v>372776</v>
      </c>
      <c r="W307">
        <v>5416364</v>
      </c>
      <c r="X307">
        <f t="shared" si="28"/>
        <v>14.529808785973346</v>
      </c>
      <c r="Y307" t="str">
        <f t="shared" si="29"/>
        <v>Weak Product</v>
      </c>
    </row>
    <row r="308" spans="1:25" x14ac:dyDescent="0.3">
      <c r="A308" t="s">
        <v>648</v>
      </c>
      <c r="B308" t="s">
        <v>649</v>
      </c>
      <c r="C308" t="s">
        <v>42</v>
      </c>
      <c r="D308" s="1">
        <v>45195</v>
      </c>
      <c r="E308">
        <v>552</v>
      </c>
      <c r="F308" t="s">
        <v>28</v>
      </c>
      <c r="G308">
        <v>19533</v>
      </c>
      <c r="H308">
        <v>16575</v>
      </c>
      <c r="I308">
        <v>40</v>
      </c>
      <c r="J308">
        <v>57</v>
      </c>
      <c r="K308">
        <v>1113381</v>
      </c>
      <c r="L308">
        <v>119791</v>
      </c>
      <c r="M308">
        <v>993590</v>
      </c>
      <c r="N308">
        <f t="shared" si="24"/>
        <v>944775</v>
      </c>
      <c r="O308">
        <f t="shared" si="25"/>
        <v>48815</v>
      </c>
      <c r="P308">
        <f t="shared" si="26"/>
        <v>4.9129922805181213E-2</v>
      </c>
      <c r="Q308">
        <v>1</v>
      </c>
      <c r="R308">
        <v>17579</v>
      </c>
      <c r="S308">
        <f t="shared" si="27"/>
        <v>2.5000000000000001E-2</v>
      </c>
      <c r="T308">
        <v>12</v>
      </c>
      <c r="U308">
        <v>3.38</v>
      </c>
      <c r="V308">
        <v>666332</v>
      </c>
      <c r="W308">
        <v>12382228</v>
      </c>
      <c r="X308">
        <f t="shared" si="28"/>
        <v>18.582670500591298</v>
      </c>
      <c r="Y308" t="str">
        <f t="shared" si="29"/>
        <v>Weak Product</v>
      </c>
    </row>
    <row r="309" spans="1:25" x14ac:dyDescent="0.3">
      <c r="A309" t="s">
        <v>650</v>
      </c>
      <c r="B309" t="s">
        <v>651</v>
      </c>
      <c r="C309" t="s">
        <v>42</v>
      </c>
      <c r="D309" s="1">
        <v>44972</v>
      </c>
      <c r="E309">
        <v>775</v>
      </c>
      <c r="F309" t="s">
        <v>28</v>
      </c>
      <c r="G309">
        <v>19637</v>
      </c>
      <c r="H309">
        <v>16924</v>
      </c>
      <c r="I309">
        <v>84</v>
      </c>
      <c r="J309">
        <v>121</v>
      </c>
      <c r="K309">
        <v>2376077</v>
      </c>
      <c r="L309">
        <v>234671</v>
      </c>
      <c r="M309">
        <v>2141406</v>
      </c>
      <c r="N309">
        <f t="shared" si="24"/>
        <v>2047804</v>
      </c>
      <c r="O309">
        <f t="shared" si="25"/>
        <v>93602</v>
      </c>
      <c r="P309">
        <f t="shared" si="26"/>
        <v>4.3710534107030616E-2</v>
      </c>
      <c r="Q309">
        <v>2</v>
      </c>
      <c r="R309">
        <v>35346</v>
      </c>
      <c r="S309">
        <f t="shared" si="27"/>
        <v>2.3809523809523808E-2</v>
      </c>
      <c r="T309">
        <v>31</v>
      </c>
      <c r="U309">
        <v>3.02</v>
      </c>
      <c r="V309">
        <v>290970</v>
      </c>
      <c r="W309">
        <v>6243014</v>
      </c>
      <c r="X309">
        <f t="shared" si="28"/>
        <v>21.455868302574149</v>
      </c>
      <c r="Y309" t="str">
        <f t="shared" si="29"/>
        <v>Weak Product</v>
      </c>
    </row>
    <row r="310" spans="1:25" x14ac:dyDescent="0.3">
      <c r="A310" t="s">
        <v>652</v>
      </c>
      <c r="B310" t="s">
        <v>653</v>
      </c>
      <c r="C310" t="s">
        <v>42</v>
      </c>
      <c r="D310" s="1">
        <v>44976</v>
      </c>
      <c r="E310">
        <v>771</v>
      </c>
      <c r="F310" t="s">
        <v>28</v>
      </c>
      <c r="G310">
        <v>13028</v>
      </c>
      <c r="H310">
        <v>9273</v>
      </c>
      <c r="I310">
        <v>65</v>
      </c>
      <c r="J310">
        <v>99</v>
      </c>
      <c r="K310">
        <v>1289772</v>
      </c>
      <c r="L310">
        <v>184634</v>
      </c>
      <c r="M310">
        <v>1105138</v>
      </c>
      <c r="N310">
        <f t="shared" si="24"/>
        <v>918027</v>
      </c>
      <c r="O310">
        <f t="shared" si="25"/>
        <v>187111</v>
      </c>
      <c r="P310">
        <f t="shared" si="26"/>
        <v>0.16931007711254159</v>
      </c>
      <c r="Q310">
        <v>6</v>
      </c>
      <c r="R310">
        <v>70350</v>
      </c>
      <c r="S310">
        <f t="shared" si="27"/>
        <v>9.2307692307692313E-2</v>
      </c>
      <c r="T310">
        <v>21</v>
      </c>
      <c r="U310">
        <v>3.79</v>
      </c>
      <c r="V310">
        <v>351400</v>
      </c>
      <c r="W310">
        <v>5167756</v>
      </c>
      <c r="X310">
        <f t="shared" si="28"/>
        <v>14.706192373363688</v>
      </c>
      <c r="Y310" t="str">
        <f t="shared" si="29"/>
        <v>Weak Product</v>
      </c>
    </row>
    <row r="311" spans="1:25" x14ac:dyDescent="0.3">
      <c r="A311" t="s">
        <v>654</v>
      </c>
      <c r="B311" t="s">
        <v>655</v>
      </c>
      <c r="C311" t="s">
        <v>42</v>
      </c>
      <c r="D311" s="1">
        <v>45130</v>
      </c>
      <c r="E311">
        <v>617</v>
      </c>
      <c r="F311" t="s">
        <v>28</v>
      </c>
      <c r="G311">
        <v>18482</v>
      </c>
      <c r="H311">
        <v>15245</v>
      </c>
      <c r="I311">
        <v>43</v>
      </c>
      <c r="J311">
        <v>66</v>
      </c>
      <c r="K311">
        <v>1219812</v>
      </c>
      <c r="L311">
        <v>213384</v>
      </c>
      <c r="M311">
        <v>1006428</v>
      </c>
      <c r="N311">
        <f t="shared" si="24"/>
        <v>1006170</v>
      </c>
      <c r="O311">
        <f t="shared" si="25"/>
        <v>258</v>
      </c>
      <c r="P311">
        <f t="shared" si="26"/>
        <v>2.5635216826240922E-4</v>
      </c>
      <c r="Q311">
        <v>5</v>
      </c>
      <c r="R311">
        <v>83165</v>
      </c>
      <c r="S311">
        <f t="shared" si="27"/>
        <v>0.11627906976744186</v>
      </c>
      <c r="T311">
        <v>11</v>
      </c>
      <c r="U311">
        <v>3.23</v>
      </c>
      <c r="V311">
        <v>221287</v>
      </c>
      <c r="W311">
        <v>8428955</v>
      </c>
      <c r="X311">
        <f t="shared" si="28"/>
        <v>38.090601797665478</v>
      </c>
      <c r="Y311" t="str">
        <f t="shared" si="29"/>
        <v>Weak Product</v>
      </c>
    </row>
    <row r="312" spans="1:25" x14ac:dyDescent="0.3">
      <c r="A312" t="s">
        <v>656</v>
      </c>
      <c r="B312" t="s">
        <v>657</v>
      </c>
      <c r="C312" t="s">
        <v>658</v>
      </c>
      <c r="D312" s="1">
        <v>45228</v>
      </c>
      <c r="E312">
        <v>519</v>
      </c>
      <c r="F312" t="s">
        <v>28</v>
      </c>
      <c r="G312">
        <v>16178</v>
      </c>
      <c r="H312">
        <v>13566</v>
      </c>
      <c r="I312">
        <v>92</v>
      </c>
      <c r="J312">
        <v>138</v>
      </c>
      <c r="K312">
        <v>2232564</v>
      </c>
      <c r="L312">
        <v>354930</v>
      </c>
      <c r="M312">
        <v>1877634</v>
      </c>
      <c r="N312">
        <f t="shared" si="24"/>
        <v>1872108</v>
      </c>
      <c r="O312">
        <f t="shared" si="25"/>
        <v>5526</v>
      </c>
      <c r="P312">
        <f t="shared" si="26"/>
        <v>2.9430655814711494E-3</v>
      </c>
      <c r="Q312">
        <v>5</v>
      </c>
      <c r="R312">
        <v>72800</v>
      </c>
      <c r="S312">
        <f t="shared" si="27"/>
        <v>5.434782608695652E-2</v>
      </c>
      <c r="T312">
        <v>38</v>
      </c>
      <c r="U312">
        <v>3.36</v>
      </c>
      <c r="V312">
        <v>99039</v>
      </c>
      <c r="W312">
        <v>2849828</v>
      </c>
      <c r="X312">
        <f t="shared" si="28"/>
        <v>28.774805884550531</v>
      </c>
      <c r="Y312" t="str">
        <f t="shared" si="29"/>
        <v>Weak Product</v>
      </c>
    </row>
    <row r="313" spans="1:25" x14ac:dyDescent="0.3">
      <c r="A313" t="s">
        <v>659</v>
      </c>
      <c r="B313" t="s">
        <v>660</v>
      </c>
      <c r="C313" t="s">
        <v>658</v>
      </c>
      <c r="D313" s="1">
        <v>45413</v>
      </c>
      <c r="E313">
        <v>334</v>
      </c>
      <c r="F313" t="s">
        <v>28</v>
      </c>
      <c r="G313">
        <v>16312</v>
      </c>
      <c r="H313">
        <v>13453</v>
      </c>
      <c r="I313">
        <v>87</v>
      </c>
      <c r="J313">
        <v>132</v>
      </c>
      <c r="K313">
        <v>2153184</v>
      </c>
      <c r="L313">
        <v>286483</v>
      </c>
      <c r="M313">
        <v>1866701</v>
      </c>
      <c r="N313">
        <f t="shared" si="24"/>
        <v>1775796</v>
      </c>
      <c r="O313">
        <f t="shared" si="25"/>
        <v>90905</v>
      </c>
      <c r="P313">
        <f t="shared" si="26"/>
        <v>4.8698211443610945E-2</v>
      </c>
      <c r="Q313">
        <v>2</v>
      </c>
      <c r="R313">
        <v>29360</v>
      </c>
      <c r="S313">
        <f t="shared" si="27"/>
        <v>2.2988505747126436E-2</v>
      </c>
      <c r="T313">
        <v>30</v>
      </c>
      <c r="U313">
        <v>3.13</v>
      </c>
      <c r="V313">
        <v>73046</v>
      </c>
      <c r="W313">
        <v>2028388</v>
      </c>
      <c r="X313">
        <f t="shared" si="28"/>
        <v>27.768638939846124</v>
      </c>
      <c r="Y313" t="str">
        <f t="shared" si="29"/>
        <v>Weak Product</v>
      </c>
    </row>
    <row r="314" spans="1:25" x14ac:dyDescent="0.3">
      <c r="A314" t="s">
        <v>661</v>
      </c>
      <c r="B314" t="s">
        <v>662</v>
      </c>
      <c r="C314" t="s">
        <v>658</v>
      </c>
      <c r="D314" s="1">
        <v>45414</v>
      </c>
      <c r="E314">
        <v>333</v>
      </c>
      <c r="F314" t="s">
        <v>28</v>
      </c>
      <c r="G314">
        <v>5810</v>
      </c>
      <c r="H314">
        <v>3187</v>
      </c>
      <c r="I314">
        <v>71</v>
      </c>
      <c r="J314">
        <v>101</v>
      </c>
      <c r="K314">
        <v>586810</v>
      </c>
      <c r="L314">
        <v>117214</v>
      </c>
      <c r="M314">
        <v>469596</v>
      </c>
      <c r="N314">
        <f t="shared" si="24"/>
        <v>321887</v>
      </c>
      <c r="O314">
        <f t="shared" si="25"/>
        <v>147709</v>
      </c>
      <c r="P314">
        <f t="shared" si="26"/>
        <v>0.314544842801046</v>
      </c>
      <c r="Q314">
        <v>7</v>
      </c>
      <c r="R314">
        <v>36603</v>
      </c>
      <c r="S314">
        <f t="shared" si="27"/>
        <v>9.8591549295774641E-2</v>
      </c>
      <c r="T314">
        <v>30</v>
      </c>
      <c r="U314">
        <v>4.42</v>
      </c>
      <c r="V314">
        <v>485642</v>
      </c>
      <c r="W314">
        <v>2314837</v>
      </c>
      <c r="X314">
        <f t="shared" si="28"/>
        <v>4.766550257185334</v>
      </c>
      <c r="Y314" t="str">
        <f t="shared" si="29"/>
        <v>Weak Product</v>
      </c>
    </row>
    <row r="315" spans="1:25" x14ac:dyDescent="0.3">
      <c r="A315" t="s">
        <v>663</v>
      </c>
      <c r="B315" t="s">
        <v>664</v>
      </c>
      <c r="C315" t="s">
        <v>658</v>
      </c>
      <c r="D315" s="1">
        <v>45210</v>
      </c>
      <c r="E315">
        <v>537</v>
      </c>
      <c r="F315" t="s">
        <v>28</v>
      </c>
      <c r="G315">
        <v>18095</v>
      </c>
      <c r="H315">
        <v>9581</v>
      </c>
      <c r="I315">
        <v>78</v>
      </c>
      <c r="J315">
        <v>109</v>
      </c>
      <c r="K315">
        <v>1972355</v>
      </c>
      <c r="L315">
        <v>266846</v>
      </c>
      <c r="M315">
        <v>1705509</v>
      </c>
      <c r="N315">
        <f t="shared" si="24"/>
        <v>1044329</v>
      </c>
      <c r="O315">
        <f t="shared" si="25"/>
        <v>661180</v>
      </c>
      <c r="P315">
        <f t="shared" si="26"/>
        <v>0.38767312280380811</v>
      </c>
      <c r="Q315">
        <v>5</v>
      </c>
      <c r="R315">
        <v>81425</v>
      </c>
      <c r="S315">
        <f t="shared" si="27"/>
        <v>6.4102564102564097E-2</v>
      </c>
      <c r="T315">
        <v>34</v>
      </c>
      <c r="U315">
        <v>4.16</v>
      </c>
      <c r="V315">
        <v>221153</v>
      </c>
      <c r="W315">
        <v>4754960</v>
      </c>
      <c r="X315">
        <f t="shared" si="28"/>
        <v>21.500770959471499</v>
      </c>
      <c r="Y315" t="str">
        <f t="shared" si="29"/>
        <v>Weak Product</v>
      </c>
    </row>
    <row r="316" spans="1:25" x14ac:dyDescent="0.3">
      <c r="A316" t="s">
        <v>665</v>
      </c>
      <c r="B316" t="s">
        <v>666</v>
      </c>
      <c r="C316" t="s">
        <v>658</v>
      </c>
      <c r="D316" s="1">
        <v>45504</v>
      </c>
      <c r="E316">
        <v>243</v>
      </c>
      <c r="F316" t="s">
        <v>28</v>
      </c>
      <c r="G316">
        <v>3654</v>
      </c>
      <c r="H316">
        <v>2078</v>
      </c>
      <c r="I316">
        <v>191</v>
      </c>
      <c r="J316">
        <v>267</v>
      </c>
      <c r="K316">
        <v>975618</v>
      </c>
      <c r="L316">
        <v>113993</v>
      </c>
      <c r="M316">
        <v>861625</v>
      </c>
      <c r="N316">
        <f t="shared" si="24"/>
        <v>554826</v>
      </c>
      <c r="O316">
        <f t="shared" si="25"/>
        <v>306799</v>
      </c>
      <c r="P316">
        <f t="shared" si="26"/>
        <v>0.35607021616132306</v>
      </c>
      <c r="Q316">
        <v>22</v>
      </c>
      <c r="R316">
        <v>72336</v>
      </c>
      <c r="S316">
        <f t="shared" si="27"/>
        <v>0.11518324607329843</v>
      </c>
      <c r="T316">
        <v>80</v>
      </c>
      <c r="U316">
        <v>4.32</v>
      </c>
      <c r="V316">
        <v>560392</v>
      </c>
      <c r="W316">
        <v>2460816</v>
      </c>
      <c r="X316">
        <f t="shared" si="28"/>
        <v>4.3912404174220905</v>
      </c>
      <c r="Y316" t="str">
        <f t="shared" si="29"/>
        <v>Weak Product</v>
      </c>
    </row>
    <row r="317" spans="1:25" x14ac:dyDescent="0.3">
      <c r="A317" t="s">
        <v>667</v>
      </c>
      <c r="B317" t="s">
        <v>668</v>
      </c>
      <c r="C317" t="s">
        <v>658</v>
      </c>
      <c r="D317" s="1">
        <v>44955</v>
      </c>
      <c r="E317">
        <v>792</v>
      </c>
      <c r="F317" t="s">
        <v>28</v>
      </c>
      <c r="G317">
        <v>14686</v>
      </c>
      <c r="H317">
        <v>7498</v>
      </c>
      <c r="I317">
        <v>38</v>
      </c>
      <c r="J317">
        <v>58</v>
      </c>
      <c r="K317">
        <v>851788</v>
      </c>
      <c r="L317">
        <v>102502</v>
      </c>
      <c r="M317">
        <v>749286</v>
      </c>
      <c r="N317">
        <f t="shared" si="24"/>
        <v>434884</v>
      </c>
      <c r="O317">
        <f t="shared" si="25"/>
        <v>314402</v>
      </c>
      <c r="P317">
        <f t="shared" si="26"/>
        <v>0.41960212789242024</v>
      </c>
      <c r="Q317">
        <v>1</v>
      </c>
      <c r="R317">
        <v>13217</v>
      </c>
      <c r="S317">
        <f t="shared" si="27"/>
        <v>2.6315789473684209E-2</v>
      </c>
      <c r="T317">
        <v>12</v>
      </c>
      <c r="U317">
        <v>4.33</v>
      </c>
      <c r="V317">
        <v>554671</v>
      </c>
      <c r="W317">
        <v>9473870</v>
      </c>
      <c r="X317">
        <f t="shared" si="28"/>
        <v>17.080161032395779</v>
      </c>
      <c r="Y317" t="str">
        <f t="shared" si="29"/>
        <v>Star</v>
      </c>
    </row>
    <row r="318" spans="1:25" x14ac:dyDescent="0.3">
      <c r="A318" t="s">
        <v>669</v>
      </c>
      <c r="B318" t="s">
        <v>670</v>
      </c>
      <c r="C318" t="s">
        <v>658</v>
      </c>
      <c r="D318" s="1">
        <v>44977</v>
      </c>
      <c r="E318">
        <v>770</v>
      </c>
      <c r="F318" t="s">
        <v>28</v>
      </c>
      <c r="G318">
        <v>14329</v>
      </c>
      <c r="H318">
        <v>11825</v>
      </c>
      <c r="I318">
        <v>85</v>
      </c>
      <c r="J318">
        <v>131</v>
      </c>
      <c r="K318">
        <v>1877099</v>
      </c>
      <c r="L318">
        <v>269652</v>
      </c>
      <c r="M318">
        <v>1607447</v>
      </c>
      <c r="N318">
        <f t="shared" si="24"/>
        <v>1549075</v>
      </c>
      <c r="O318">
        <f t="shared" si="25"/>
        <v>58372</v>
      </c>
      <c r="P318">
        <f t="shared" si="26"/>
        <v>3.6313483430557895E-2</v>
      </c>
      <c r="Q318">
        <v>11</v>
      </c>
      <c r="R318">
        <v>141856</v>
      </c>
      <c r="S318">
        <f t="shared" si="27"/>
        <v>0.12941176470588237</v>
      </c>
      <c r="T318">
        <v>39</v>
      </c>
      <c r="U318">
        <v>3.24</v>
      </c>
      <c r="V318">
        <v>364979</v>
      </c>
      <c r="W318">
        <v>6060084</v>
      </c>
      <c r="X318">
        <f t="shared" si="28"/>
        <v>16.603925157337819</v>
      </c>
      <c r="Y318" t="str">
        <f t="shared" si="29"/>
        <v>Weak Product</v>
      </c>
    </row>
    <row r="319" spans="1:25" x14ac:dyDescent="0.3">
      <c r="A319" t="s">
        <v>671</v>
      </c>
      <c r="B319" t="s">
        <v>672</v>
      </c>
      <c r="C319" t="s">
        <v>658</v>
      </c>
      <c r="D319" s="1">
        <v>45166</v>
      </c>
      <c r="E319">
        <v>581</v>
      </c>
      <c r="F319" t="s">
        <v>28</v>
      </c>
      <c r="G319">
        <v>19856</v>
      </c>
      <c r="H319">
        <v>13056</v>
      </c>
      <c r="I319">
        <v>22</v>
      </c>
      <c r="J319">
        <v>34</v>
      </c>
      <c r="K319">
        <v>675104</v>
      </c>
      <c r="L319">
        <v>106909</v>
      </c>
      <c r="M319">
        <v>568195</v>
      </c>
      <c r="N319">
        <f t="shared" si="24"/>
        <v>443904</v>
      </c>
      <c r="O319">
        <f t="shared" si="25"/>
        <v>124291</v>
      </c>
      <c r="P319">
        <f t="shared" si="26"/>
        <v>0.21874708506762644</v>
      </c>
      <c r="Q319">
        <v>2</v>
      </c>
      <c r="R319">
        <v>35740</v>
      </c>
      <c r="S319">
        <f t="shared" si="27"/>
        <v>9.0909090909090912E-2</v>
      </c>
      <c r="T319">
        <v>11</v>
      </c>
      <c r="U319">
        <v>3.73</v>
      </c>
      <c r="V319">
        <v>381285</v>
      </c>
      <c r="W319">
        <v>6167695</v>
      </c>
      <c r="X319">
        <f t="shared" si="28"/>
        <v>16.176075638957734</v>
      </c>
      <c r="Y319" t="str">
        <f t="shared" si="29"/>
        <v>Weak Product</v>
      </c>
    </row>
    <row r="320" spans="1:25" x14ac:dyDescent="0.3">
      <c r="A320" t="s">
        <v>673</v>
      </c>
      <c r="B320" t="s">
        <v>674</v>
      </c>
      <c r="C320" t="s">
        <v>658</v>
      </c>
      <c r="D320" s="1">
        <v>45639</v>
      </c>
      <c r="E320">
        <v>108</v>
      </c>
      <c r="F320" t="s">
        <v>28</v>
      </c>
      <c r="G320">
        <v>4741</v>
      </c>
      <c r="H320">
        <v>2212</v>
      </c>
      <c r="I320">
        <v>156</v>
      </c>
      <c r="J320">
        <v>249</v>
      </c>
      <c r="K320">
        <v>1180509</v>
      </c>
      <c r="L320">
        <v>191419</v>
      </c>
      <c r="M320">
        <v>989090</v>
      </c>
      <c r="N320">
        <f t="shared" si="24"/>
        <v>550788</v>
      </c>
      <c r="O320">
        <f t="shared" si="25"/>
        <v>438302</v>
      </c>
      <c r="P320">
        <f t="shared" si="26"/>
        <v>0.44313662052998209</v>
      </c>
      <c r="Q320">
        <v>16</v>
      </c>
      <c r="R320">
        <v>68256</v>
      </c>
      <c r="S320">
        <f t="shared" si="27"/>
        <v>0.10256410256410256</v>
      </c>
      <c r="T320">
        <v>60</v>
      </c>
      <c r="U320">
        <v>4.5199999999999996</v>
      </c>
      <c r="V320">
        <v>72754</v>
      </c>
      <c r="W320">
        <v>561328</v>
      </c>
      <c r="X320">
        <f t="shared" si="28"/>
        <v>7.7154245814663112</v>
      </c>
      <c r="Y320" t="str">
        <f t="shared" si="29"/>
        <v>Hidden Opportunity</v>
      </c>
    </row>
    <row r="321" spans="1:25" x14ac:dyDescent="0.3">
      <c r="A321" t="s">
        <v>675</v>
      </c>
      <c r="B321" t="s">
        <v>676</v>
      </c>
      <c r="C321" t="s">
        <v>658</v>
      </c>
      <c r="D321" s="1">
        <v>45164</v>
      </c>
      <c r="E321">
        <v>583</v>
      </c>
      <c r="F321" t="s">
        <v>28</v>
      </c>
      <c r="G321">
        <v>8480</v>
      </c>
      <c r="H321">
        <v>7073</v>
      </c>
      <c r="I321">
        <v>107</v>
      </c>
      <c r="J321">
        <v>152</v>
      </c>
      <c r="K321">
        <v>1288960</v>
      </c>
      <c r="L321">
        <v>215236</v>
      </c>
      <c r="M321">
        <v>1073724</v>
      </c>
      <c r="N321">
        <f t="shared" si="24"/>
        <v>1075096</v>
      </c>
      <c r="O321">
        <f t="shared" si="25"/>
        <v>-1372</v>
      </c>
      <c r="P321">
        <f t="shared" si="26"/>
        <v>-1.2777957836464491E-3</v>
      </c>
      <c r="Q321">
        <v>11</v>
      </c>
      <c r="R321">
        <v>83952</v>
      </c>
      <c r="S321">
        <f t="shared" si="27"/>
        <v>0.10280373831775701</v>
      </c>
      <c r="T321">
        <v>42</v>
      </c>
      <c r="U321">
        <v>3.4</v>
      </c>
      <c r="V321">
        <v>472890</v>
      </c>
      <c r="W321">
        <v>3965159</v>
      </c>
      <c r="X321">
        <f t="shared" si="28"/>
        <v>8.3849499883693888</v>
      </c>
      <c r="Y321" t="str">
        <f t="shared" si="29"/>
        <v>Weak Product</v>
      </c>
    </row>
    <row r="322" spans="1:25" x14ac:dyDescent="0.3">
      <c r="A322" t="s">
        <v>677</v>
      </c>
      <c r="B322" t="s">
        <v>678</v>
      </c>
      <c r="C322" t="s">
        <v>658</v>
      </c>
      <c r="D322" s="1">
        <v>44912</v>
      </c>
      <c r="E322">
        <v>835</v>
      </c>
      <c r="F322" t="s">
        <v>28</v>
      </c>
      <c r="G322">
        <v>13872</v>
      </c>
      <c r="H322">
        <v>10142</v>
      </c>
      <c r="I322">
        <v>30</v>
      </c>
      <c r="J322">
        <v>45</v>
      </c>
      <c r="K322">
        <v>624240</v>
      </c>
      <c r="L322">
        <v>107381</v>
      </c>
      <c r="M322">
        <v>516859</v>
      </c>
      <c r="N322">
        <f t="shared" si="24"/>
        <v>456390</v>
      </c>
      <c r="O322">
        <f t="shared" si="25"/>
        <v>60469</v>
      </c>
      <c r="P322">
        <f t="shared" si="26"/>
        <v>0.11699322252297048</v>
      </c>
      <c r="Q322">
        <v>5</v>
      </c>
      <c r="R322">
        <v>62420</v>
      </c>
      <c r="S322">
        <f t="shared" si="27"/>
        <v>0.16666666666666666</v>
      </c>
      <c r="T322">
        <v>12</v>
      </c>
      <c r="U322">
        <v>3.63</v>
      </c>
      <c r="V322">
        <v>419168</v>
      </c>
      <c r="W322">
        <v>7649942</v>
      </c>
      <c r="X322">
        <f t="shared" si="28"/>
        <v>18.250300595465301</v>
      </c>
      <c r="Y322" t="str">
        <f t="shared" si="29"/>
        <v>Weak Product</v>
      </c>
    </row>
    <row r="323" spans="1:25" x14ac:dyDescent="0.3">
      <c r="A323" t="s">
        <v>679</v>
      </c>
      <c r="B323" t="s">
        <v>680</v>
      </c>
      <c r="C323" t="s">
        <v>658</v>
      </c>
      <c r="D323" s="1">
        <v>45170</v>
      </c>
      <c r="E323">
        <v>577</v>
      </c>
      <c r="F323" t="s">
        <v>28</v>
      </c>
      <c r="G323">
        <v>15198</v>
      </c>
      <c r="H323">
        <v>7179</v>
      </c>
      <c r="I323">
        <v>68</v>
      </c>
      <c r="J323">
        <v>99</v>
      </c>
      <c r="K323">
        <v>1504602</v>
      </c>
      <c r="L323">
        <v>227048</v>
      </c>
      <c r="M323">
        <v>1277554</v>
      </c>
      <c r="N323">
        <f t="shared" ref="N323:N386" si="30">J323*H323</f>
        <v>710721</v>
      </c>
      <c r="O323">
        <f t="shared" ref="O323:O386" si="31">M323-N323</f>
        <v>566833</v>
      </c>
      <c r="P323">
        <f t="shared" ref="P323:P386" si="32">IF(M323&gt;0, (M323-N323)/M323, 0)</f>
        <v>0.44368613772881615</v>
      </c>
      <c r="Q323">
        <v>7</v>
      </c>
      <c r="R323">
        <v>95746</v>
      </c>
      <c r="S323">
        <f t="shared" ref="S323:S386" si="33">IF(I323&gt;0, Q323/I323, 0)</f>
        <v>0.10294117647058823</v>
      </c>
      <c r="T323">
        <v>30</v>
      </c>
      <c r="U323">
        <v>4.5999999999999996</v>
      </c>
      <c r="V323">
        <v>104014</v>
      </c>
      <c r="W323">
        <v>2184109</v>
      </c>
      <c r="X323">
        <f t="shared" ref="X323:X386" si="34">IF(V323&gt;0, W323/V323, 0)</f>
        <v>20.998221393273983</v>
      </c>
      <c r="Y323" t="str">
        <f t="shared" ref="Y323:Y386" si="35">IF(E323&lt;=90, "Immature Product", IF(AND(O323&gt;0, U323&gt;=4, S323&lt;0.05), "Star", IF(AND(M323&gt;10000000, O323&lt;0), "Revenue Trap", IF(AND(O323&gt;0, U323&gt;=4, V323&lt;100000), "Hidden Opportunity", "Weak Product"))))</f>
        <v>Weak Product</v>
      </c>
    </row>
    <row r="324" spans="1:25" x14ac:dyDescent="0.3">
      <c r="A324" t="s">
        <v>681</v>
      </c>
      <c r="B324" t="s">
        <v>682</v>
      </c>
      <c r="C324" t="s">
        <v>658</v>
      </c>
      <c r="D324" s="1">
        <v>45649</v>
      </c>
      <c r="E324">
        <v>98</v>
      </c>
      <c r="F324" t="s">
        <v>28</v>
      </c>
      <c r="G324">
        <v>12037</v>
      </c>
      <c r="H324">
        <v>6228</v>
      </c>
      <c r="I324">
        <v>106</v>
      </c>
      <c r="J324">
        <v>161</v>
      </c>
      <c r="K324">
        <v>1937957</v>
      </c>
      <c r="L324">
        <v>276935</v>
      </c>
      <c r="M324">
        <v>1661022</v>
      </c>
      <c r="N324">
        <f t="shared" si="30"/>
        <v>1002708</v>
      </c>
      <c r="O324">
        <f t="shared" si="31"/>
        <v>658314</v>
      </c>
      <c r="P324">
        <f t="shared" si="32"/>
        <v>0.39633069279034233</v>
      </c>
      <c r="Q324">
        <v>4</v>
      </c>
      <c r="R324">
        <v>43332</v>
      </c>
      <c r="S324">
        <f t="shared" si="33"/>
        <v>3.7735849056603772E-2</v>
      </c>
      <c r="T324">
        <v>43</v>
      </c>
      <c r="U324">
        <v>4.4800000000000004</v>
      </c>
      <c r="V324">
        <v>535404</v>
      </c>
      <c r="W324">
        <v>7572534</v>
      </c>
      <c r="X324">
        <f t="shared" si="34"/>
        <v>14.143588766613622</v>
      </c>
      <c r="Y324" t="str">
        <f t="shared" si="35"/>
        <v>Star</v>
      </c>
    </row>
    <row r="325" spans="1:25" x14ac:dyDescent="0.3">
      <c r="A325" t="s">
        <v>683</v>
      </c>
      <c r="B325" t="s">
        <v>684</v>
      </c>
      <c r="C325" t="s">
        <v>658</v>
      </c>
      <c r="D325" s="1">
        <v>45426</v>
      </c>
      <c r="E325">
        <v>321</v>
      </c>
      <c r="F325" t="s">
        <v>28</v>
      </c>
      <c r="G325">
        <v>9591</v>
      </c>
      <c r="H325">
        <v>7174</v>
      </c>
      <c r="I325">
        <v>96</v>
      </c>
      <c r="J325">
        <v>136</v>
      </c>
      <c r="K325">
        <v>1304376</v>
      </c>
      <c r="L325">
        <v>153813</v>
      </c>
      <c r="M325">
        <v>1150563</v>
      </c>
      <c r="N325">
        <f t="shared" si="30"/>
        <v>975664</v>
      </c>
      <c r="O325">
        <f t="shared" si="31"/>
        <v>174899</v>
      </c>
      <c r="P325">
        <f t="shared" si="32"/>
        <v>0.15201166733155855</v>
      </c>
      <c r="Q325">
        <v>5</v>
      </c>
      <c r="R325">
        <v>43155</v>
      </c>
      <c r="S325">
        <f t="shared" si="33"/>
        <v>5.2083333333333336E-2</v>
      </c>
      <c r="T325">
        <v>44</v>
      </c>
      <c r="U325">
        <v>3.38</v>
      </c>
      <c r="V325">
        <v>115014</v>
      </c>
      <c r="W325">
        <v>1658108</v>
      </c>
      <c r="X325">
        <f t="shared" si="34"/>
        <v>14.416575373432799</v>
      </c>
      <c r="Y325" t="str">
        <f t="shared" si="35"/>
        <v>Weak Product</v>
      </c>
    </row>
    <row r="326" spans="1:25" x14ac:dyDescent="0.3">
      <c r="A326" t="s">
        <v>685</v>
      </c>
      <c r="B326" t="s">
        <v>686</v>
      </c>
      <c r="C326" t="s">
        <v>658</v>
      </c>
      <c r="D326" s="1">
        <v>45305</v>
      </c>
      <c r="E326">
        <v>442</v>
      </c>
      <c r="F326" t="s">
        <v>28</v>
      </c>
      <c r="G326">
        <v>3561</v>
      </c>
      <c r="H326">
        <v>2201</v>
      </c>
      <c r="I326">
        <v>177</v>
      </c>
      <c r="J326">
        <v>261</v>
      </c>
      <c r="K326">
        <v>929421</v>
      </c>
      <c r="L326">
        <v>157278</v>
      </c>
      <c r="M326">
        <v>772143</v>
      </c>
      <c r="N326">
        <f t="shared" si="30"/>
        <v>574461</v>
      </c>
      <c r="O326">
        <f t="shared" si="31"/>
        <v>197682</v>
      </c>
      <c r="P326">
        <f t="shared" si="32"/>
        <v>0.25601734393758668</v>
      </c>
      <c r="Q326">
        <v>20</v>
      </c>
      <c r="R326">
        <v>64080</v>
      </c>
      <c r="S326">
        <f t="shared" si="33"/>
        <v>0.11299435028248588</v>
      </c>
      <c r="T326">
        <v>68</v>
      </c>
      <c r="U326">
        <v>3.97</v>
      </c>
      <c r="V326">
        <v>640595</v>
      </c>
      <c r="W326">
        <v>2310773</v>
      </c>
      <c r="X326">
        <f t="shared" si="34"/>
        <v>3.6072292165877036</v>
      </c>
      <c r="Y326" t="str">
        <f t="shared" si="35"/>
        <v>Weak Product</v>
      </c>
    </row>
    <row r="327" spans="1:25" x14ac:dyDescent="0.3">
      <c r="A327" t="s">
        <v>687</v>
      </c>
      <c r="B327" t="s">
        <v>688</v>
      </c>
      <c r="C327" t="s">
        <v>658</v>
      </c>
      <c r="D327" s="1">
        <v>45540</v>
      </c>
      <c r="E327">
        <v>207</v>
      </c>
      <c r="F327" t="s">
        <v>28</v>
      </c>
      <c r="G327">
        <v>14317</v>
      </c>
      <c r="H327">
        <v>11581</v>
      </c>
      <c r="I327">
        <v>91</v>
      </c>
      <c r="J327">
        <v>141</v>
      </c>
      <c r="K327">
        <v>2018697</v>
      </c>
      <c r="L327">
        <v>263682</v>
      </c>
      <c r="M327">
        <v>1755015</v>
      </c>
      <c r="N327">
        <f t="shared" si="30"/>
        <v>1632921</v>
      </c>
      <c r="O327">
        <f t="shared" si="31"/>
        <v>122094</v>
      </c>
      <c r="P327">
        <f t="shared" si="32"/>
        <v>6.9568636165502865E-2</v>
      </c>
      <c r="Q327">
        <v>8</v>
      </c>
      <c r="R327">
        <v>103080</v>
      </c>
      <c r="S327">
        <f t="shared" si="33"/>
        <v>8.7912087912087919E-2</v>
      </c>
      <c r="T327">
        <v>36</v>
      </c>
      <c r="U327">
        <v>3.08</v>
      </c>
      <c r="V327">
        <v>491418</v>
      </c>
      <c r="W327">
        <v>8634304</v>
      </c>
      <c r="X327">
        <f t="shared" si="34"/>
        <v>17.570182614393449</v>
      </c>
      <c r="Y327" t="str">
        <f t="shared" si="35"/>
        <v>Weak Product</v>
      </c>
    </row>
    <row r="328" spans="1:25" x14ac:dyDescent="0.3">
      <c r="A328" t="s">
        <v>689</v>
      </c>
      <c r="B328" t="s">
        <v>690</v>
      </c>
      <c r="C328" t="s">
        <v>658</v>
      </c>
      <c r="D328" s="1">
        <v>45515</v>
      </c>
      <c r="E328">
        <v>232</v>
      </c>
      <c r="F328" t="s">
        <v>28</v>
      </c>
      <c r="G328">
        <v>8503</v>
      </c>
      <c r="H328">
        <v>7337</v>
      </c>
      <c r="I328">
        <v>96</v>
      </c>
      <c r="J328">
        <v>149</v>
      </c>
      <c r="K328">
        <v>1266947</v>
      </c>
      <c r="L328">
        <v>154266</v>
      </c>
      <c r="M328">
        <v>1112681</v>
      </c>
      <c r="N328">
        <f t="shared" si="30"/>
        <v>1093213</v>
      </c>
      <c r="O328">
        <f t="shared" si="31"/>
        <v>19468</v>
      </c>
      <c r="P328">
        <f t="shared" si="32"/>
        <v>1.7496479224503699E-2</v>
      </c>
      <c r="Q328">
        <v>3</v>
      </c>
      <c r="R328">
        <v>22956</v>
      </c>
      <c r="S328">
        <f t="shared" si="33"/>
        <v>3.125E-2</v>
      </c>
      <c r="T328">
        <v>48</v>
      </c>
      <c r="U328">
        <v>2.9</v>
      </c>
      <c r="V328">
        <v>686954</v>
      </c>
      <c r="W328">
        <v>5617967</v>
      </c>
      <c r="X328">
        <f t="shared" si="34"/>
        <v>8.1780832486600268</v>
      </c>
      <c r="Y328" t="str">
        <f t="shared" si="35"/>
        <v>Weak Product</v>
      </c>
    </row>
    <row r="329" spans="1:25" x14ac:dyDescent="0.3">
      <c r="A329" t="s">
        <v>691</v>
      </c>
      <c r="B329" t="s">
        <v>692</v>
      </c>
      <c r="C329" t="s">
        <v>658</v>
      </c>
      <c r="D329" s="1">
        <v>45555</v>
      </c>
      <c r="E329">
        <v>192</v>
      </c>
      <c r="F329" t="s">
        <v>28</v>
      </c>
      <c r="G329">
        <v>14364</v>
      </c>
      <c r="H329">
        <v>8690</v>
      </c>
      <c r="I329">
        <v>40</v>
      </c>
      <c r="J329">
        <v>64</v>
      </c>
      <c r="K329">
        <v>919296</v>
      </c>
      <c r="L329">
        <v>171428</v>
      </c>
      <c r="M329">
        <v>747868</v>
      </c>
      <c r="N329">
        <f t="shared" si="30"/>
        <v>556160</v>
      </c>
      <c r="O329">
        <f t="shared" si="31"/>
        <v>191708</v>
      </c>
      <c r="P329">
        <f t="shared" si="32"/>
        <v>0.25633935400364771</v>
      </c>
      <c r="Q329">
        <v>2</v>
      </c>
      <c r="R329">
        <v>25854</v>
      </c>
      <c r="S329">
        <f t="shared" si="33"/>
        <v>0.05</v>
      </c>
      <c r="T329">
        <v>14</v>
      </c>
      <c r="U329">
        <v>4.21</v>
      </c>
      <c r="V329">
        <v>286039</v>
      </c>
      <c r="W329">
        <v>5615528</v>
      </c>
      <c r="X329">
        <f t="shared" si="34"/>
        <v>19.632036190869076</v>
      </c>
      <c r="Y329" t="str">
        <f t="shared" si="35"/>
        <v>Weak Product</v>
      </c>
    </row>
    <row r="330" spans="1:25" x14ac:dyDescent="0.3">
      <c r="A330" t="s">
        <v>693</v>
      </c>
      <c r="B330" t="s">
        <v>694</v>
      </c>
      <c r="C330" t="s">
        <v>658</v>
      </c>
      <c r="D330" s="1">
        <v>44958</v>
      </c>
      <c r="E330">
        <v>789</v>
      </c>
      <c r="F330" t="s">
        <v>28</v>
      </c>
      <c r="G330">
        <v>563</v>
      </c>
      <c r="H330">
        <v>330</v>
      </c>
      <c r="I330">
        <v>361</v>
      </c>
      <c r="J330">
        <v>545</v>
      </c>
      <c r="K330">
        <v>306835</v>
      </c>
      <c r="L330">
        <v>46166</v>
      </c>
      <c r="M330">
        <v>260669</v>
      </c>
      <c r="N330">
        <f t="shared" si="30"/>
        <v>179850</v>
      </c>
      <c r="O330">
        <f t="shared" si="31"/>
        <v>80819</v>
      </c>
      <c r="P330">
        <f t="shared" si="32"/>
        <v>0.31004453924325487</v>
      </c>
      <c r="Q330">
        <v>37</v>
      </c>
      <c r="R330">
        <v>18722</v>
      </c>
      <c r="S330">
        <f t="shared" si="33"/>
        <v>0.10249307479224377</v>
      </c>
      <c r="T330">
        <v>119</v>
      </c>
      <c r="U330">
        <v>4.25</v>
      </c>
      <c r="V330">
        <v>497105</v>
      </c>
      <c r="W330">
        <v>336844</v>
      </c>
      <c r="X330">
        <f t="shared" si="34"/>
        <v>0.67761136983132331</v>
      </c>
      <c r="Y330" t="str">
        <f t="shared" si="35"/>
        <v>Weak Product</v>
      </c>
    </row>
    <row r="331" spans="1:25" x14ac:dyDescent="0.3">
      <c r="A331" t="s">
        <v>695</v>
      </c>
      <c r="B331" t="s">
        <v>696</v>
      </c>
      <c r="C331" t="s">
        <v>658</v>
      </c>
      <c r="D331" s="1">
        <v>45211</v>
      </c>
      <c r="E331">
        <v>536</v>
      </c>
      <c r="F331" t="s">
        <v>28</v>
      </c>
      <c r="G331">
        <v>3655</v>
      </c>
      <c r="H331">
        <v>3119</v>
      </c>
      <c r="I331">
        <v>74</v>
      </c>
      <c r="J331">
        <v>106</v>
      </c>
      <c r="K331">
        <v>387430</v>
      </c>
      <c r="L331">
        <v>66032</v>
      </c>
      <c r="M331">
        <v>321398</v>
      </c>
      <c r="N331">
        <f t="shared" si="30"/>
        <v>330614</v>
      </c>
      <c r="O331">
        <f t="shared" si="31"/>
        <v>-9216</v>
      </c>
      <c r="P331">
        <f t="shared" si="32"/>
        <v>-2.86747272851729E-2</v>
      </c>
      <c r="Q331">
        <v>8</v>
      </c>
      <c r="R331">
        <v>26312</v>
      </c>
      <c r="S331">
        <f t="shared" si="33"/>
        <v>0.10810810810810811</v>
      </c>
      <c r="T331">
        <v>34</v>
      </c>
      <c r="U331">
        <v>3.28</v>
      </c>
      <c r="V331">
        <v>498668</v>
      </c>
      <c r="W331">
        <v>2437454</v>
      </c>
      <c r="X331">
        <f t="shared" si="34"/>
        <v>4.88792944403892</v>
      </c>
      <c r="Y331" t="str">
        <f t="shared" si="35"/>
        <v>Weak Product</v>
      </c>
    </row>
    <row r="332" spans="1:25" x14ac:dyDescent="0.3">
      <c r="A332" t="s">
        <v>697</v>
      </c>
      <c r="B332" t="s">
        <v>698</v>
      </c>
      <c r="C332" t="s">
        <v>658</v>
      </c>
      <c r="D332" s="1">
        <v>44843</v>
      </c>
      <c r="E332">
        <v>904</v>
      </c>
      <c r="F332" t="s">
        <v>28</v>
      </c>
      <c r="G332">
        <v>2540</v>
      </c>
      <c r="H332">
        <v>1679</v>
      </c>
      <c r="I332">
        <v>71</v>
      </c>
      <c r="J332">
        <v>99</v>
      </c>
      <c r="K332">
        <v>251460</v>
      </c>
      <c r="L332">
        <v>48586</v>
      </c>
      <c r="M332">
        <v>202874</v>
      </c>
      <c r="N332">
        <f t="shared" si="30"/>
        <v>166221</v>
      </c>
      <c r="O332">
        <f t="shared" si="31"/>
        <v>36653</v>
      </c>
      <c r="P332">
        <f t="shared" si="32"/>
        <v>0.18066878949495746</v>
      </c>
      <c r="Q332">
        <v>3</v>
      </c>
      <c r="R332">
        <v>6858</v>
      </c>
      <c r="S332">
        <f t="shared" si="33"/>
        <v>4.2253521126760563E-2</v>
      </c>
      <c r="T332">
        <v>26</v>
      </c>
      <c r="U332">
        <v>3.85</v>
      </c>
      <c r="V332">
        <v>492135</v>
      </c>
      <c r="W332">
        <v>1485604</v>
      </c>
      <c r="X332">
        <f t="shared" si="34"/>
        <v>3.0186920255620917</v>
      </c>
      <c r="Y332" t="str">
        <f t="shared" si="35"/>
        <v>Weak Product</v>
      </c>
    </row>
    <row r="333" spans="1:25" x14ac:dyDescent="0.3">
      <c r="A333" t="s">
        <v>699</v>
      </c>
      <c r="B333" t="s">
        <v>700</v>
      </c>
      <c r="C333" t="s">
        <v>658</v>
      </c>
      <c r="D333" s="1">
        <v>45288</v>
      </c>
      <c r="E333">
        <v>459</v>
      </c>
      <c r="F333" t="s">
        <v>28</v>
      </c>
      <c r="G333">
        <v>13789</v>
      </c>
      <c r="H333">
        <v>8587</v>
      </c>
      <c r="I333">
        <v>41</v>
      </c>
      <c r="J333">
        <v>60</v>
      </c>
      <c r="K333">
        <v>827340</v>
      </c>
      <c r="L333">
        <v>92376</v>
      </c>
      <c r="M333">
        <v>734964</v>
      </c>
      <c r="N333">
        <f t="shared" si="30"/>
        <v>515220</v>
      </c>
      <c r="O333">
        <f t="shared" si="31"/>
        <v>219744</v>
      </c>
      <c r="P333">
        <f t="shared" si="32"/>
        <v>0.29898607278723854</v>
      </c>
      <c r="Q333">
        <v>2</v>
      </c>
      <c r="R333">
        <v>24820</v>
      </c>
      <c r="S333">
        <f t="shared" si="33"/>
        <v>4.878048780487805E-2</v>
      </c>
      <c r="T333">
        <v>22</v>
      </c>
      <c r="U333">
        <v>3.93</v>
      </c>
      <c r="V333">
        <v>144571</v>
      </c>
      <c r="W333">
        <v>1586576</v>
      </c>
      <c r="X333">
        <f t="shared" si="34"/>
        <v>10.974372453673281</v>
      </c>
      <c r="Y333" t="str">
        <f t="shared" si="35"/>
        <v>Weak Product</v>
      </c>
    </row>
    <row r="334" spans="1:25" x14ac:dyDescent="0.3">
      <c r="A334" t="s">
        <v>701</v>
      </c>
      <c r="B334" t="s">
        <v>702</v>
      </c>
      <c r="C334" t="s">
        <v>658</v>
      </c>
      <c r="D334" s="1">
        <v>45157</v>
      </c>
      <c r="E334">
        <v>590</v>
      </c>
      <c r="F334" t="s">
        <v>28</v>
      </c>
      <c r="G334">
        <v>11818</v>
      </c>
      <c r="H334">
        <v>5513</v>
      </c>
      <c r="I334">
        <v>90</v>
      </c>
      <c r="J334">
        <v>137</v>
      </c>
      <c r="K334">
        <v>1619066</v>
      </c>
      <c r="L334">
        <v>304710</v>
      </c>
      <c r="M334">
        <v>1314356</v>
      </c>
      <c r="N334">
        <f t="shared" si="30"/>
        <v>755281</v>
      </c>
      <c r="O334">
        <f t="shared" si="31"/>
        <v>559075</v>
      </c>
      <c r="P334">
        <f t="shared" si="32"/>
        <v>0.42536040463923014</v>
      </c>
      <c r="Q334">
        <v>4</v>
      </c>
      <c r="R334">
        <v>42544</v>
      </c>
      <c r="S334">
        <f t="shared" si="33"/>
        <v>4.4444444444444446E-2</v>
      </c>
      <c r="T334">
        <v>32</v>
      </c>
      <c r="U334">
        <v>4.41</v>
      </c>
      <c r="V334">
        <v>406517</v>
      </c>
      <c r="W334">
        <v>5836082</v>
      </c>
      <c r="X334">
        <f t="shared" si="34"/>
        <v>14.356304902378007</v>
      </c>
      <c r="Y334" t="str">
        <f t="shared" si="35"/>
        <v>Star</v>
      </c>
    </row>
    <row r="335" spans="1:25" x14ac:dyDescent="0.3">
      <c r="A335" t="s">
        <v>703</v>
      </c>
      <c r="B335" t="s">
        <v>704</v>
      </c>
      <c r="C335" t="s">
        <v>658</v>
      </c>
      <c r="D335" s="1">
        <v>45542</v>
      </c>
      <c r="E335">
        <v>205</v>
      </c>
      <c r="F335" t="s">
        <v>28</v>
      </c>
      <c r="G335">
        <v>9635</v>
      </c>
      <c r="H335">
        <v>5294</v>
      </c>
      <c r="I335">
        <v>31</v>
      </c>
      <c r="J335">
        <v>45</v>
      </c>
      <c r="K335">
        <v>433575</v>
      </c>
      <c r="L335">
        <v>58789</v>
      </c>
      <c r="M335">
        <v>374786</v>
      </c>
      <c r="N335">
        <f t="shared" si="30"/>
        <v>238230</v>
      </c>
      <c r="O335">
        <f t="shared" si="31"/>
        <v>136556</v>
      </c>
      <c r="P335">
        <f t="shared" si="32"/>
        <v>0.36435725987630274</v>
      </c>
      <c r="Q335">
        <v>0</v>
      </c>
      <c r="R335">
        <v>0</v>
      </c>
      <c r="S335">
        <f t="shared" si="33"/>
        <v>0</v>
      </c>
      <c r="T335">
        <v>17</v>
      </c>
      <c r="U335">
        <v>4.24</v>
      </c>
      <c r="V335">
        <v>211211</v>
      </c>
      <c r="W335">
        <v>2061527</v>
      </c>
      <c r="X335">
        <f t="shared" si="34"/>
        <v>9.7605096325475476</v>
      </c>
      <c r="Y335" t="str">
        <f t="shared" si="35"/>
        <v>Star</v>
      </c>
    </row>
    <row r="336" spans="1:25" x14ac:dyDescent="0.3">
      <c r="A336" t="s">
        <v>705</v>
      </c>
      <c r="B336" t="s">
        <v>706</v>
      </c>
      <c r="C336" t="s">
        <v>658</v>
      </c>
      <c r="D336" s="1">
        <v>45137</v>
      </c>
      <c r="E336">
        <v>610</v>
      </c>
      <c r="F336" t="s">
        <v>28</v>
      </c>
      <c r="G336">
        <v>6480</v>
      </c>
      <c r="H336">
        <v>3651</v>
      </c>
      <c r="I336">
        <v>110</v>
      </c>
      <c r="J336">
        <v>155</v>
      </c>
      <c r="K336">
        <v>1004400</v>
      </c>
      <c r="L336">
        <v>101483</v>
      </c>
      <c r="M336">
        <v>902917</v>
      </c>
      <c r="N336">
        <f t="shared" si="30"/>
        <v>565905</v>
      </c>
      <c r="O336">
        <f t="shared" si="31"/>
        <v>337012</v>
      </c>
      <c r="P336">
        <f t="shared" si="32"/>
        <v>0.37324803941004542</v>
      </c>
      <c r="Q336">
        <v>5</v>
      </c>
      <c r="R336">
        <v>29160</v>
      </c>
      <c r="S336">
        <f t="shared" si="33"/>
        <v>4.5454545454545456E-2</v>
      </c>
      <c r="T336">
        <v>42</v>
      </c>
      <c r="U336">
        <v>4.1900000000000004</v>
      </c>
      <c r="V336">
        <v>236165</v>
      </c>
      <c r="W336">
        <v>2069035</v>
      </c>
      <c r="X336">
        <f t="shared" si="34"/>
        <v>8.7609722016386851</v>
      </c>
      <c r="Y336" t="str">
        <f t="shared" si="35"/>
        <v>Star</v>
      </c>
    </row>
    <row r="337" spans="1:25" x14ac:dyDescent="0.3">
      <c r="A337" t="s">
        <v>707</v>
      </c>
      <c r="B337" t="s">
        <v>708</v>
      </c>
      <c r="C337" t="s">
        <v>658</v>
      </c>
      <c r="D337" s="1">
        <v>45443</v>
      </c>
      <c r="E337">
        <v>304</v>
      </c>
      <c r="F337" t="s">
        <v>28</v>
      </c>
      <c r="G337">
        <v>8198</v>
      </c>
      <c r="H337">
        <v>5535</v>
      </c>
      <c r="I337">
        <v>129</v>
      </c>
      <c r="J337">
        <v>200</v>
      </c>
      <c r="K337">
        <v>1639600</v>
      </c>
      <c r="L337">
        <v>253514</v>
      </c>
      <c r="M337">
        <v>1386086</v>
      </c>
      <c r="N337">
        <f t="shared" si="30"/>
        <v>1107000</v>
      </c>
      <c r="O337">
        <f t="shared" si="31"/>
        <v>279086</v>
      </c>
      <c r="P337">
        <f t="shared" si="32"/>
        <v>0.20134825689026511</v>
      </c>
      <c r="Q337">
        <v>6</v>
      </c>
      <c r="R337">
        <v>44268</v>
      </c>
      <c r="S337">
        <f t="shared" si="33"/>
        <v>4.6511627906976744E-2</v>
      </c>
      <c r="T337">
        <v>47</v>
      </c>
      <c r="U337">
        <v>3.84</v>
      </c>
      <c r="V337">
        <v>333780</v>
      </c>
      <c r="W337">
        <v>3331294</v>
      </c>
      <c r="X337">
        <f t="shared" si="34"/>
        <v>9.9805081191203779</v>
      </c>
      <c r="Y337" t="str">
        <f t="shared" si="35"/>
        <v>Weak Product</v>
      </c>
    </row>
    <row r="338" spans="1:25" x14ac:dyDescent="0.3">
      <c r="A338" t="s">
        <v>709</v>
      </c>
      <c r="B338" t="s">
        <v>710</v>
      </c>
      <c r="C338" t="s">
        <v>658</v>
      </c>
      <c r="D338" s="1">
        <v>45534</v>
      </c>
      <c r="E338">
        <v>213</v>
      </c>
      <c r="F338" t="s">
        <v>28</v>
      </c>
      <c r="G338">
        <v>14089</v>
      </c>
      <c r="H338">
        <v>10363</v>
      </c>
      <c r="I338">
        <v>60</v>
      </c>
      <c r="J338">
        <v>91</v>
      </c>
      <c r="K338">
        <v>1282099</v>
      </c>
      <c r="L338">
        <v>170444</v>
      </c>
      <c r="M338">
        <v>1111655</v>
      </c>
      <c r="N338">
        <f t="shared" si="30"/>
        <v>943033</v>
      </c>
      <c r="O338">
        <f t="shared" si="31"/>
        <v>168622</v>
      </c>
      <c r="P338">
        <f t="shared" si="32"/>
        <v>0.15168554992331254</v>
      </c>
      <c r="Q338">
        <v>3</v>
      </c>
      <c r="R338">
        <v>38040</v>
      </c>
      <c r="S338">
        <f t="shared" si="33"/>
        <v>0.05</v>
      </c>
      <c r="T338">
        <v>26</v>
      </c>
      <c r="U338">
        <v>3.56</v>
      </c>
      <c r="V338">
        <v>356901</v>
      </c>
      <c r="W338">
        <v>6246836</v>
      </c>
      <c r="X338">
        <f t="shared" si="34"/>
        <v>17.502993827419928</v>
      </c>
      <c r="Y338" t="str">
        <f t="shared" si="35"/>
        <v>Weak Product</v>
      </c>
    </row>
    <row r="339" spans="1:25" x14ac:dyDescent="0.3">
      <c r="A339" t="s">
        <v>711</v>
      </c>
      <c r="B339" t="s">
        <v>712</v>
      </c>
      <c r="C339" t="s">
        <v>658</v>
      </c>
      <c r="D339" s="1">
        <v>44875</v>
      </c>
      <c r="E339">
        <v>872</v>
      </c>
      <c r="F339" t="s">
        <v>28</v>
      </c>
      <c r="G339">
        <v>750</v>
      </c>
      <c r="H339">
        <v>586</v>
      </c>
      <c r="I339">
        <v>284</v>
      </c>
      <c r="J339">
        <v>424</v>
      </c>
      <c r="K339">
        <v>318000</v>
      </c>
      <c r="L339">
        <v>39040</v>
      </c>
      <c r="M339">
        <v>278960</v>
      </c>
      <c r="N339">
        <f t="shared" si="30"/>
        <v>248464</v>
      </c>
      <c r="O339">
        <f t="shared" si="31"/>
        <v>30496</v>
      </c>
      <c r="P339">
        <f t="shared" si="32"/>
        <v>0.10932033266418124</v>
      </c>
      <c r="Q339">
        <v>24</v>
      </c>
      <c r="R339">
        <v>16200</v>
      </c>
      <c r="S339">
        <f t="shared" si="33"/>
        <v>8.4507042253521125E-2</v>
      </c>
      <c r="T339">
        <v>119</v>
      </c>
      <c r="U339">
        <v>3.35</v>
      </c>
      <c r="V339">
        <v>104142</v>
      </c>
      <c r="W339">
        <v>119130</v>
      </c>
      <c r="X339">
        <f t="shared" si="34"/>
        <v>1.1439188799907818</v>
      </c>
      <c r="Y339" t="str">
        <f t="shared" si="35"/>
        <v>Weak Product</v>
      </c>
    </row>
    <row r="340" spans="1:25" x14ac:dyDescent="0.3">
      <c r="A340" t="s">
        <v>713</v>
      </c>
      <c r="B340" t="s">
        <v>714</v>
      </c>
      <c r="C340" t="s">
        <v>658</v>
      </c>
      <c r="D340" s="1">
        <v>45246</v>
      </c>
      <c r="E340">
        <v>501</v>
      </c>
      <c r="F340" t="s">
        <v>28</v>
      </c>
      <c r="G340">
        <v>13911</v>
      </c>
      <c r="H340">
        <v>9868</v>
      </c>
      <c r="I340">
        <v>97</v>
      </c>
      <c r="J340">
        <v>142</v>
      </c>
      <c r="K340">
        <v>1975362</v>
      </c>
      <c r="L340">
        <v>369837</v>
      </c>
      <c r="M340">
        <v>1605525</v>
      </c>
      <c r="N340">
        <f t="shared" si="30"/>
        <v>1401256</v>
      </c>
      <c r="O340">
        <f t="shared" si="31"/>
        <v>204269</v>
      </c>
      <c r="P340">
        <f t="shared" si="32"/>
        <v>0.12722878809112284</v>
      </c>
      <c r="Q340">
        <v>7</v>
      </c>
      <c r="R340">
        <v>87633</v>
      </c>
      <c r="S340">
        <f t="shared" si="33"/>
        <v>7.2164948453608241E-2</v>
      </c>
      <c r="T340">
        <v>44</v>
      </c>
      <c r="U340">
        <v>3.7</v>
      </c>
      <c r="V340">
        <v>136960</v>
      </c>
      <c r="W340">
        <v>2660802</v>
      </c>
      <c r="X340">
        <f t="shared" si="34"/>
        <v>19.427584696261682</v>
      </c>
      <c r="Y340" t="str">
        <f t="shared" si="35"/>
        <v>Weak Product</v>
      </c>
    </row>
    <row r="341" spans="1:25" x14ac:dyDescent="0.3">
      <c r="A341" t="s">
        <v>715</v>
      </c>
      <c r="B341" t="s">
        <v>716</v>
      </c>
      <c r="C341" t="s">
        <v>658</v>
      </c>
      <c r="D341" s="1">
        <v>44994</v>
      </c>
      <c r="E341">
        <v>753</v>
      </c>
      <c r="F341" t="s">
        <v>28</v>
      </c>
      <c r="G341">
        <v>17053</v>
      </c>
      <c r="H341">
        <v>8280</v>
      </c>
      <c r="I341">
        <v>26</v>
      </c>
      <c r="J341">
        <v>40</v>
      </c>
      <c r="K341">
        <v>682120</v>
      </c>
      <c r="L341">
        <v>110058</v>
      </c>
      <c r="M341">
        <v>572062</v>
      </c>
      <c r="N341">
        <f t="shared" si="30"/>
        <v>331200</v>
      </c>
      <c r="O341">
        <f t="shared" si="31"/>
        <v>240862</v>
      </c>
      <c r="P341">
        <f t="shared" si="32"/>
        <v>0.42104177519219943</v>
      </c>
      <c r="Q341">
        <v>4</v>
      </c>
      <c r="R341">
        <v>61388</v>
      </c>
      <c r="S341">
        <f t="shared" si="33"/>
        <v>0.15384615384615385</v>
      </c>
      <c r="T341">
        <v>13</v>
      </c>
      <c r="U341">
        <v>4.6900000000000004</v>
      </c>
      <c r="V341">
        <v>85947</v>
      </c>
      <c r="W341">
        <v>374031</v>
      </c>
      <c r="X341">
        <f t="shared" si="34"/>
        <v>4.3518796467590493</v>
      </c>
      <c r="Y341" t="str">
        <f t="shared" si="35"/>
        <v>Hidden Opportunity</v>
      </c>
    </row>
    <row r="342" spans="1:25" x14ac:dyDescent="0.3">
      <c r="A342" t="s">
        <v>717</v>
      </c>
      <c r="B342" t="s">
        <v>718</v>
      </c>
      <c r="C342" t="s">
        <v>658</v>
      </c>
      <c r="D342" s="1">
        <v>45582</v>
      </c>
      <c r="E342">
        <v>165</v>
      </c>
      <c r="F342" t="s">
        <v>28</v>
      </c>
      <c r="G342">
        <v>10462</v>
      </c>
      <c r="H342">
        <v>6126</v>
      </c>
      <c r="I342">
        <v>101</v>
      </c>
      <c r="J342">
        <v>158</v>
      </c>
      <c r="K342">
        <v>1652996</v>
      </c>
      <c r="L342">
        <v>253601</v>
      </c>
      <c r="M342">
        <v>1399395</v>
      </c>
      <c r="N342">
        <f t="shared" si="30"/>
        <v>967908</v>
      </c>
      <c r="O342">
        <f t="shared" si="31"/>
        <v>431487</v>
      </c>
      <c r="P342">
        <f t="shared" si="32"/>
        <v>0.30833824617066663</v>
      </c>
      <c r="Q342">
        <v>13</v>
      </c>
      <c r="R342">
        <v>122395</v>
      </c>
      <c r="S342">
        <f t="shared" si="33"/>
        <v>0.12871287128712872</v>
      </c>
      <c r="T342">
        <v>48</v>
      </c>
      <c r="U342">
        <v>4.13</v>
      </c>
      <c r="V342">
        <v>414849</v>
      </c>
      <c r="W342">
        <v>3642048</v>
      </c>
      <c r="X342">
        <f t="shared" si="34"/>
        <v>8.7792136415900721</v>
      </c>
      <c r="Y342" t="str">
        <f t="shared" si="35"/>
        <v>Weak Product</v>
      </c>
    </row>
    <row r="343" spans="1:25" x14ac:dyDescent="0.3">
      <c r="A343" t="s">
        <v>719</v>
      </c>
      <c r="B343" t="s">
        <v>720</v>
      </c>
      <c r="C343" t="s">
        <v>658</v>
      </c>
      <c r="D343" s="1">
        <v>45594</v>
      </c>
      <c r="E343">
        <v>153</v>
      </c>
      <c r="F343" t="s">
        <v>28</v>
      </c>
      <c r="G343">
        <v>2102</v>
      </c>
      <c r="H343">
        <v>1599</v>
      </c>
      <c r="I343">
        <v>208</v>
      </c>
      <c r="J343">
        <v>309</v>
      </c>
      <c r="K343">
        <v>649518</v>
      </c>
      <c r="L343">
        <v>94068</v>
      </c>
      <c r="M343">
        <v>555450</v>
      </c>
      <c r="N343">
        <f t="shared" si="30"/>
        <v>494091</v>
      </c>
      <c r="O343">
        <f t="shared" si="31"/>
        <v>61359</v>
      </c>
      <c r="P343">
        <f t="shared" si="32"/>
        <v>0.11046718876586552</v>
      </c>
      <c r="Q343">
        <v>25</v>
      </c>
      <c r="R343">
        <v>47275</v>
      </c>
      <c r="S343">
        <f t="shared" si="33"/>
        <v>0.1201923076923077</v>
      </c>
      <c r="T343">
        <v>89</v>
      </c>
      <c r="U343">
        <v>3.5</v>
      </c>
      <c r="V343">
        <v>624974</v>
      </c>
      <c r="W343">
        <v>1251413</v>
      </c>
      <c r="X343">
        <f t="shared" si="34"/>
        <v>2.0023440975144564</v>
      </c>
      <c r="Y343" t="str">
        <f t="shared" si="35"/>
        <v>Weak Product</v>
      </c>
    </row>
    <row r="344" spans="1:25" x14ac:dyDescent="0.3">
      <c r="A344" t="s">
        <v>721</v>
      </c>
      <c r="B344" t="s">
        <v>722</v>
      </c>
      <c r="C344" t="s">
        <v>658</v>
      </c>
      <c r="D344" s="1">
        <v>45636</v>
      </c>
      <c r="E344">
        <v>111</v>
      </c>
      <c r="F344" t="s">
        <v>28</v>
      </c>
      <c r="G344">
        <v>11659</v>
      </c>
      <c r="H344">
        <v>7749</v>
      </c>
      <c r="I344">
        <v>41</v>
      </c>
      <c r="J344">
        <v>66</v>
      </c>
      <c r="K344">
        <v>769494</v>
      </c>
      <c r="L344">
        <v>127792</v>
      </c>
      <c r="M344">
        <v>641702</v>
      </c>
      <c r="N344">
        <f t="shared" si="30"/>
        <v>511434</v>
      </c>
      <c r="O344">
        <f t="shared" si="31"/>
        <v>130268</v>
      </c>
      <c r="P344">
        <f t="shared" si="32"/>
        <v>0.20300388653923473</v>
      </c>
      <c r="Q344">
        <v>3</v>
      </c>
      <c r="R344">
        <v>31479</v>
      </c>
      <c r="S344">
        <f t="shared" si="33"/>
        <v>7.3170731707317069E-2</v>
      </c>
      <c r="T344">
        <v>11</v>
      </c>
      <c r="U344">
        <v>3.73</v>
      </c>
      <c r="V344">
        <v>492087</v>
      </c>
      <c r="W344">
        <v>9004258</v>
      </c>
      <c r="X344">
        <f t="shared" si="34"/>
        <v>18.298101758428896</v>
      </c>
      <c r="Y344" t="str">
        <f t="shared" si="35"/>
        <v>Weak Product</v>
      </c>
    </row>
    <row r="345" spans="1:25" x14ac:dyDescent="0.3">
      <c r="A345" t="s">
        <v>723</v>
      </c>
      <c r="B345" t="s">
        <v>724</v>
      </c>
      <c r="C345" t="s">
        <v>658</v>
      </c>
      <c r="D345" s="1">
        <v>44865</v>
      </c>
      <c r="E345">
        <v>882</v>
      </c>
      <c r="F345" t="s">
        <v>28</v>
      </c>
      <c r="G345">
        <v>4167</v>
      </c>
      <c r="H345">
        <v>2303</v>
      </c>
      <c r="I345">
        <v>103</v>
      </c>
      <c r="J345">
        <v>151</v>
      </c>
      <c r="K345">
        <v>629217</v>
      </c>
      <c r="L345">
        <v>122544</v>
      </c>
      <c r="M345">
        <v>506673</v>
      </c>
      <c r="N345">
        <f t="shared" si="30"/>
        <v>347753</v>
      </c>
      <c r="O345">
        <f t="shared" si="31"/>
        <v>158920</v>
      </c>
      <c r="P345">
        <f t="shared" si="32"/>
        <v>0.31365397406216633</v>
      </c>
      <c r="Q345">
        <v>4</v>
      </c>
      <c r="R345">
        <v>15000</v>
      </c>
      <c r="S345">
        <f t="shared" si="33"/>
        <v>3.8834951456310676E-2</v>
      </c>
      <c r="T345">
        <v>42</v>
      </c>
      <c r="U345">
        <v>4.1399999999999997</v>
      </c>
      <c r="V345">
        <v>244239</v>
      </c>
      <c r="W345">
        <v>1675755</v>
      </c>
      <c r="X345">
        <f t="shared" si="34"/>
        <v>6.8611278297077858</v>
      </c>
      <c r="Y345" t="str">
        <f t="shared" si="35"/>
        <v>Star</v>
      </c>
    </row>
    <row r="346" spans="1:25" x14ac:dyDescent="0.3">
      <c r="A346" t="s">
        <v>725</v>
      </c>
      <c r="B346" t="s">
        <v>726</v>
      </c>
      <c r="C346" t="s">
        <v>658</v>
      </c>
      <c r="D346" s="1">
        <v>45358</v>
      </c>
      <c r="E346">
        <v>389</v>
      </c>
      <c r="F346" t="s">
        <v>28</v>
      </c>
      <c r="G346">
        <v>2824</v>
      </c>
      <c r="H346">
        <v>1911</v>
      </c>
      <c r="I346">
        <v>211</v>
      </c>
      <c r="J346">
        <v>306</v>
      </c>
      <c r="K346">
        <v>864144</v>
      </c>
      <c r="L346">
        <v>118156</v>
      </c>
      <c r="M346">
        <v>745988</v>
      </c>
      <c r="N346">
        <f t="shared" si="30"/>
        <v>584766</v>
      </c>
      <c r="O346">
        <f t="shared" si="31"/>
        <v>161222</v>
      </c>
      <c r="P346">
        <f t="shared" si="32"/>
        <v>0.216118757942487</v>
      </c>
      <c r="Q346">
        <v>25</v>
      </c>
      <c r="R346">
        <v>63525</v>
      </c>
      <c r="S346">
        <f t="shared" si="33"/>
        <v>0.11848341232227488</v>
      </c>
      <c r="T346">
        <v>76</v>
      </c>
      <c r="U346">
        <v>3.76</v>
      </c>
      <c r="V346">
        <v>112460</v>
      </c>
      <c r="W346">
        <v>518429</v>
      </c>
      <c r="X346">
        <f t="shared" si="34"/>
        <v>4.6098968522141206</v>
      </c>
      <c r="Y346" t="str">
        <f t="shared" si="35"/>
        <v>Weak Product</v>
      </c>
    </row>
    <row r="347" spans="1:25" x14ac:dyDescent="0.3">
      <c r="A347" t="s">
        <v>727</v>
      </c>
      <c r="B347" t="s">
        <v>728</v>
      </c>
      <c r="C347" t="s">
        <v>658</v>
      </c>
      <c r="D347" s="1">
        <v>44953</v>
      </c>
      <c r="E347">
        <v>794</v>
      </c>
      <c r="F347" t="s">
        <v>28</v>
      </c>
      <c r="G347">
        <v>19104</v>
      </c>
      <c r="H347">
        <v>11398</v>
      </c>
      <c r="I347">
        <v>59</v>
      </c>
      <c r="J347">
        <v>92</v>
      </c>
      <c r="K347">
        <v>1757568</v>
      </c>
      <c r="L347">
        <v>266120</v>
      </c>
      <c r="M347">
        <v>1491448</v>
      </c>
      <c r="N347">
        <f t="shared" si="30"/>
        <v>1048616</v>
      </c>
      <c r="O347">
        <f t="shared" si="31"/>
        <v>442832</v>
      </c>
      <c r="P347">
        <f t="shared" si="32"/>
        <v>0.29691413981580317</v>
      </c>
      <c r="Q347">
        <v>2</v>
      </c>
      <c r="R347">
        <v>34386</v>
      </c>
      <c r="S347">
        <f t="shared" si="33"/>
        <v>3.3898305084745763E-2</v>
      </c>
      <c r="T347">
        <v>26</v>
      </c>
      <c r="U347">
        <v>4.2300000000000004</v>
      </c>
      <c r="V347">
        <v>342564</v>
      </c>
      <c r="W347">
        <v>8883964</v>
      </c>
      <c r="X347">
        <f t="shared" si="34"/>
        <v>25.933735010100303</v>
      </c>
      <c r="Y347" t="str">
        <f t="shared" si="35"/>
        <v>Star</v>
      </c>
    </row>
    <row r="348" spans="1:25" x14ac:dyDescent="0.3">
      <c r="A348" t="s">
        <v>729</v>
      </c>
      <c r="B348" t="s">
        <v>730</v>
      </c>
      <c r="C348" t="s">
        <v>658</v>
      </c>
      <c r="D348" s="1">
        <v>45018</v>
      </c>
      <c r="E348">
        <v>729</v>
      </c>
      <c r="F348" t="s">
        <v>28</v>
      </c>
      <c r="G348">
        <v>12848</v>
      </c>
      <c r="H348">
        <v>6242</v>
      </c>
      <c r="I348">
        <v>67</v>
      </c>
      <c r="J348">
        <v>104</v>
      </c>
      <c r="K348">
        <v>1336192</v>
      </c>
      <c r="L348">
        <v>175270</v>
      </c>
      <c r="M348">
        <v>1160922</v>
      </c>
      <c r="N348">
        <f t="shared" si="30"/>
        <v>649168</v>
      </c>
      <c r="O348">
        <f t="shared" si="31"/>
        <v>511754</v>
      </c>
      <c r="P348">
        <f t="shared" si="32"/>
        <v>0.44081686797218073</v>
      </c>
      <c r="Q348">
        <v>7</v>
      </c>
      <c r="R348">
        <v>80941</v>
      </c>
      <c r="S348">
        <f t="shared" si="33"/>
        <v>0.1044776119402985</v>
      </c>
      <c r="T348">
        <v>30</v>
      </c>
      <c r="U348">
        <v>4.5199999999999996</v>
      </c>
      <c r="V348">
        <v>80280</v>
      </c>
      <c r="W348">
        <v>760370</v>
      </c>
      <c r="X348">
        <f t="shared" si="34"/>
        <v>9.4714748380667668</v>
      </c>
      <c r="Y348" t="str">
        <f t="shared" si="35"/>
        <v>Hidden Opportunity</v>
      </c>
    </row>
    <row r="349" spans="1:25" x14ac:dyDescent="0.3">
      <c r="A349" t="s">
        <v>731</v>
      </c>
      <c r="B349" t="s">
        <v>732</v>
      </c>
      <c r="C349" t="s">
        <v>658</v>
      </c>
      <c r="D349" s="1">
        <v>45261</v>
      </c>
      <c r="E349">
        <v>486</v>
      </c>
      <c r="F349" t="s">
        <v>28</v>
      </c>
      <c r="G349">
        <v>7655</v>
      </c>
      <c r="H349">
        <v>5780</v>
      </c>
      <c r="I349">
        <v>48</v>
      </c>
      <c r="J349">
        <v>73</v>
      </c>
      <c r="K349">
        <v>558815</v>
      </c>
      <c r="L349">
        <v>120423</v>
      </c>
      <c r="M349">
        <v>438392</v>
      </c>
      <c r="N349">
        <f t="shared" si="30"/>
        <v>421940</v>
      </c>
      <c r="O349">
        <f t="shared" si="31"/>
        <v>16452</v>
      </c>
      <c r="P349">
        <f t="shared" si="32"/>
        <v>3.7528057081333603E-2</v>
      </c>
      <c r="Q349">
        <v>9</v>
      </c>
      <c r="R349">
        <v>62001</v>
      </c>
      <c r="S349">
        <f t="shared" si="33"/>
        <v>0.1875</v>
      </c>
      <c r="T349">
        <v>20</v>
      </c>
      <c r="U349">
        <v>3.45</v>
      </c>
      <c r="V349">
        <v>114638</v>
      </c>
      <c r="W349">
        <v>433887</v>
      </c>
      <c r="X349">
        <f t="shared" si="34"/>
        <v>3.7848444669306862</v>
      </c>
      <c r="Y349" t="str">
        <f t="shared" si="35"/>
        <v>Weak Product</v>
      </c>
    </row>
    <row r="350" spans="1:25" x14ac:dyDescent="0.3">
      <c r="A350" t="s">
        <v>733</v>
      </c>
      <c r="B350" t="s">
        <v>734</v>
      </c>
      <c r="C350" t="s">
        <v>658</v>
      </c>
      <c r="D350" s="1">
        <v>45363</v>
      </c>
      <c r="E350">
        <v>384</v>
      </c>
      <c r="F350" t="s">
        <v>28</v>
      </c>
      <c r="G350">
        <v>2024</v>
      </c>
      <c r="H350">
        <v>1658</v>
      </c>
      <c r="I350">
        <v>187</v>
      </c>
      <c r="J350">
        <v>279</v>
      </c>
      <c r="K350">
        <v>564696</v>
      </c>
      <c r="L350">
        <v>94220</v>
      </c>
      <c r="M350">
        <v>470476</v>
      </c>
      <c r="N350">
        <f t="shared" si="30"/>
        <v>462582</v>
      </c>
      <c r="O350">
        <f t="shared" si="31"/>
        <v>7894</v>
      </c>
      <c r="P350">
        <f t="shared" si="32"/>
        <v>1.6778751732288152E-2</v>
      </c>
      <c r="Q350">
        <v>8</v>
      </c>
      <c r="R350">
        <v>14568</v>
      </c>
      <c r="S350">
        <f t="shared" si="33"/>
        <v>4.2780748663101602E-2</v>
      </c>
      <c r="T350">
        <v>79</v>
      </c>
      <c r="U350">
        <v>3.11</v>
      </c>
      <c r="V350">
        <v>436073</v>
      </c>
      <c r="W350">
        <v>762662</v>
      </c>
      <c r="X350">
        <f t="shared" si="34"/>
        <v>1.7489319448807883</v>
      </c>
      <c r="Y350" t="str">
        <f t="shared" si="35"/>
        <v>Weak Product</v>
      </c>
    </row>
    <row r="351" spans="1:25" x14ac:dyDescent="0.3">
      <c r="A351" t="s">
        <v>735</v>
      </c>
      <c r="B351" t="s">
        <v>736</v>
      </c>
      <c r="C351" t="s">
        <v>658</v>
      </c>
      <c r="D351" s="1">
        <v>45302</v>
      </c>
      <c r="E351">
        <v>445</v>
      </c>
      <c r="F351" t="s">
        <v>28</v>
      </c>
      <c r="G351">
        <v>11023</v>
      </c>
      <c r="H351">
        <v>9492</v>
      </c>
      <c r="I351">
        <v>94</v>
      </c>
      <c r="J351">
        <v>141</v>
      </c>
      <c r="K351">
        <v>1554243</v>
      </c>
      <c r="L351">
        <v>165480</v>
      </c>
      <c r="M351">
        <v>1388763</v>
      </c>
      <c r="N351">
        <f t="shared" si="30"/>
        <v>1338372</v>
      </c>
      <c r="O351">
        <f t="shared" si="31"/>
        <v>50391</v>
      </c>
      <c r="P351">
        <f t="shared" si="32"/>
        <v>3.6284808855074624E-2</v>
      </c>
      <c r="Q351">
        <v>11</v>
      </c>
      <c r="R351">
        <v>109120</v>
      </c>
      <c r="S351">
        <f t="shared" si="33"/>
        <v>0.11702127659574468</v>
      </c>
      <c r="T351">
        <v>39</v>
      </c>
      <c r="U351">
        <v>2.94</v>
      </c>
      <c r="V351">
        <v>507097</v>
      </c>
      <c r="W351">
        <v>4970593</v>
      </c>
      <c r="X351">
        <f t="shared" si="34"/>
        <v>9.8020556224943149</v>
      </c>
      <c r="Y351" t="str">
        <f t="shared" si="35"/>
        <v>Weak Product</v>
      </c>
    </row>
    <row r="352" spans="1:25" x14ac:dyDescent="0.3">
      <c r="A352" t="s">
        <v>737</v>
      </c>
      <c r="B352" t="s">
        <v>738</v>
      </c>
      <c r="C352" t="s">
        <v>658</v>
      </c>
      <c r="D352" s="1">
        <v>45440</v>
      </c>
      <c r="E352">
        <v>307</v>
      </c>
      <c r="F352" t="s">
        <v>28</v>
      </c>
      <c r="G352">
        <v>8247</v>
      </c>
      <c r="H352">
        <v>5700</v>
      </c>
      <c r="I352">
        <v>46</v>
      </c>
      <c r="J352">
        <v>64</v>
      </c>
      <c r="K352">
        <v>527808</v>
      </c>
      <c r="L352">
        <v>82877</v>
      </c>
      <c r="M352">
        <v>444931</v>
      </c>
      <c r="N352">
        <f t="shared" si="30"/>
        <v>364800</v>
      </c>
      <c r="O352">
        <f t="shared" si="31"/>
        <v>80131</v>
      </c>
      <c r="P352">
        <f t="shared" si="32"/>
        <v>0.18009758816535598</v>
      </c>
      <c r="Q352">
        <v>1</v>
      </c>
      <c r="R352">
        <v>7422</v>
      </c>
      <c r="S352">
        <f t="shared" si="33"/>
        <v>2.1739130434782608E-2</v>
      </c>
      <c r="T352">
        <v>19</v>
      </c>
      <c r="U352">
        <v>3.5</v>
      </c>
      <c r="V352">
        <v>35457</v>
      </c>
      <c r="W352">
        <v>509790</v>
      </c>
      <c r="X352">
        <f t="shared" si="34"/>
        <v>14.377696928674169</v>
      </c>
      <c r="Y352" t="str">
        <f t="shared" si="35"/>
        <v>Weak Product</v>
      </c>
    </row>
    <row r="353" spans="1:25" x14ac:dyDescent="0.3">
      <c r="A353" t="s">
        <v>739</v>
      </c>
      <c r="B353" t="s">
        <v>740</v>
      </c>
      <c r="C353" t="s">
        <v>658</v>
      </c>
      <c r="D353" s="1">
        <v>45254</v>
      </c>
      <c r="E353">
        <v>493</v>
      </c>
      <c r="F353" t="s">
        <v>28</v>
      </c>
      <c r="G353">
        <v>5232</v>
      </c>
      <c r="H353">
        <v>4693</v>
      </c>
      <c r="I353">
        <v>152</v>
      </c>
      <c r="J353">
        <v>212</v>
      </c>
      <c r="K353">
        <v>1109184</v>
      </c>
      <c r="L353">
        <v>117783</v>
      </c>
      <c r="M353">
        <v>991401</v>
      </c>
      <c r="N353">
        <f t="shared" si="30"/>
        <v>994916</v>
      </c>
      <c r="O353">
        <f t="shared" si="31"/>
        <v>-3515</v>
      </c>
      <c r="P353">
        <f t="shared" si="32"/>
        <v>-3.5454876482876253E-3</v>
      </c>
      <c r="Q353">
        <v>3</v>
      </c>
      <c r="R353">
        <v>14124</v>
      </c>
      <c r="S353">
        <f t="shared" si="33"/>
        <v>1.9736842105263157E-2</v>
      </c>
      <c r="T353">
        <v>66</v>
      </c>
      <c r="U353">
        <v>2.81</v>
      </c>
      <c r="V353">
        <v>222488</v>
      </c>
      <c r="W353">
        <v>1273234</v>
      </c>
      <c r="X353">
        <f t="shared" si="34"/>
        <v>5.7227086404660028</v>
      </c>
      <c r="Y353" t="str">
        <f t="shared" si="35"/>
        <v>Weak Product</v>
      </c>
    </row>
    <row r="354" spans="1:25" x14ac:dyDescent="0.3">
      <c r="A354" t="s">
        <v>741</v>
      </c>
      <c r="B354" t="s">
        <v>742</v>
      </c>
      <c r="C354" t="s">
        <v>658</v>
      </c>
      <c r="D354" s="1">
        <v>45508</v>
      </c>
      <c r="E354">
        <v>239</v>
      </c>
      <c r="F354" t="s">
        <v>28</v>
      </c>
      <c r="G354">
        <v>11276</v>
      </c>
      <c r="H354">
        <v>10140</v>
      </c>
      <c r="I354">
        <v>90</v>
      </c>
      <c r="J354">
        <v>134</v>
      </c>
      <c r="K354">
        <v>1510984</v>
      </c>
      <c r="L354">
        <v>240915</v>
      </c>
      <c r="M354">
        <v>1270069</v>
      </c>
      <c r="N354">
        <f t="shared" si="30"/>
        <v>1358760</v>
      </c>
      <c r="O354">
        <f t="shared" si="31"/>
        <v>-88691</v>
      </c>
      <c r="P354">
        <f t="shared" si="32"/>
        <v>-6.9831639068428569E-2</v>
      </c>
      <c r="Q354">
        <v>4</v>
      </c>
      <c r="R354">
        <v>40592</v>
      </c>
      <c r="S354">
        <f t="shared" si="33"/>
        <v>4.4444444444444446E-2</v>
      </c>
      <c r="T354">
        <v>34</v>
      </c>
      <c r="U354">
        <v>2.84</v>
      </c>
      <c r="V354">
        <v>586595</v>
      </c>
      <c r="W354">
        <v>7520013</v>
      </c>
      <c r="X354">
        <f t="shared" si="34"/>
        <v>12.819770028725101</v>
      </c>
      <c r="Y354" t="str">
        <f t="shared" si="35"/>
        <v>Weak Product</v>
      </c>
    </row>
    <row r="355" spans="1:25" x14ac:dyDescent="0.3">
      <c r="A355" t="s">
        <v>743</v>
      </c>
      <c r="B355" t="s">
        <v>744</v>
      </c>
      <c r="C355" t="s">
        <v>658</v>
      </c>
      <c r="D355" s="1">
        <v>44896</v>
      </c>
      <c r="E355">
        <v>851</v>
      </c>
      <c r="F355" t="s">
        <v>28</v>
      </c>
      <c r="G355">
        <v>14055</v>
      </c>
      <c r="H355">
        <v>9537</v>
      </c>
      <c r="I355">
        <v>54</v>
      </c>
      <c r="J355">
        <v>86</v>
      </c>
      <c r="K355">
        <v>1208730</v>
      </c>
      <c r="L355">
        <v>130688</v>
      </c>
      <c r="M355">
        <v>1078042</v>
      </c>
      <c r="N355">
        <f t="shared" si="30"/>
        <v>820182</v>
      </c>
      <c r="O355">
        <f t="shared" si="31"/>
        <v>257860</v>
      </c>
      <c r="P355">
        <f t="shared" si="32"/>
        <v>0.23919290714090916</v>
      </c>
      <c r="Q355">
        <v>10</v>
      </c>
      <c r="R355">
        <v>126490</v>
      </c>
      <c r="S355">
        <f t="shared" si="33"/>
        <v>0.18518518518518517</v>
      </c>
      <c r="T355">
        <v>26</v>
      </c>
      <c r="U355">
        <v>3.98</v>
      </c>
      <c r="V355">
        <v>456829</v>
      </c>
      <c r="W355">
        <v>8443793</v>
      </c>
      <c r="X355">
        <f t="shared" si="34"/>
        <v>18.483487256719691</v>
      </c>
      <c r="Y355" t="str">
        <f t="shared" si="35"/>
        <v>Weak Product</v>
      </c>
    </row>
    <row r="356" spans="1:25" x14ac:dyDescent="0.3">
      <c r="A356" t="s">
        <v>745</v>
      </c>
      <c r="B356" t="s">
        <v>746</v>
      </c>
      <c r="C356" t="s">
        <v>658</v>
      </c>
      <c r="D356" s="1">
        <v>45216</v>
      </c>
      <c r="E356">
        <v>531</v>
      </c>
      <c r="F356" t="s">
        <v>28</v>
      </c>
      <c r="G356">
        <v>13834</v>
      </c>
      <c r="H356">
        <v>8087</v>
      </c>
      <c r="I356">
        <v>34</v>
      </c>
      <c r="J356">
        <v>45</v>
      </c>
      <c r="K356">
        <v>622530</v>
      </c>
      <c r="L356">
        <v>124312</v>
      </c>
      <c r="M356">
        <v>498218</v>
      </c>
      <c r="N356">
        <f t="shared" si="30"/>
        <v>363915</v>
      </c>
      <c r="O356">
        <f t="shared" si="31"/>
        <v>134303</v>
      </c>
      <c r="P356">
        <f t="shared" si="32"/>
        <v>0.2695667358465571</v>
      </c>
      <c r="Q356">
        <v>1</v>
      </c>
      <c r="R356">
        <v>12450</v>
      </c>
      <c r="S356">
        <f t="shared" si="33"/>
        <v>2.9411764705882353E-2</v>
      </c>
      <c r="T356">
        <v>13</v>
      </c>
      <c r="U356">
        <v>3.81</v>
      </c>
      <c r="V356">
        <v>361837</v>
      </c>
      <c r="W356">
        <v>4850471</v>
      </c>
      <c r="X356">
        <f t="shared" si="34"/>
        <v>13.405127170521533</v>
      </c>
      <c r="Y356" t="str">
        <f t="shared" si="35"/>
        <v>Weak Product</v>
      </c>
    </row>
    <row r="357" spans="1:25" x14ac:dyDescent="0.3">
      <c r="A357" t="s">
        <v>747</v>
      </c>
      <c r="B357" t="s">
        <v>748</v>
      </c>
      <c r="C357" t="s">
        <v>658</v>
      </c>
      <c r="D357" s="1">
        <v>44898</v>
      </c>
      <c r="E357">
        <v>849</v>
      </c>
      <c r="F357" t="s">
        <v>28</v>
      </c>
      <c r="G357">
        <v>2751</v>
      </c>
      <c r="H357">
        <v>1743</v>
      </c>
      <c r="I357">
        <v>176</v>
      </c>
      <c r="J357">
        <v>260</v>
      </c>
      <c r="K357">
        <v>715260</v>
      </c>
      <c r="L357">
        <v>106404</v>
      </c>
      <c r="M357">
        <v>608856</v>
      </c>
      <c r="N357">
        <f t="shared" si="30"/>
        <v>453180</v>
      </c>
      <c r="O357">
        <f t="shared" si="31"/>
        <v>155676</v>
      </c>
      <c r="P357">
        <f t="shared" si="32"/>
        <v>0.25568607355433798</v>
      </c>
      <c r="Q357">
        <v>11</v>
      </c>
      <c r="R357">
        <v>27225</v>
      </c>
      <c r="S357">
        <f t="shared" si="33"/>
        <v>6.25E-2</v>
      </c>
      <c r="T357">
        <v>69</v>
      </c>
      <c r="U357">
        <v>3.96</v>
      </c>
      <c r="V357">
        <v>537948</v>
      </c>
      <c r="W357">
        <v>2008285</v>
      </c>
      <c r="X357">
        <f t="shared" si="34"/>
        <v>3.7332325801006787</v>
      </c>
      <c r="Y357" t="str">
        <f t="shared" si="35"/>
        <v>Weak Product</v>
      </c>
    </row>
    <row r="358" spans="1:25" x14ac:dyDescent="0.3">
      <c r="A358" t="s">
        <v>749</v>
      </c>
      <c r="B358" t="s">
        <v>750</v>
      </c>
      <c r="C358" t="s">
        <v>658</v>
      </c>
      <c r="D358" s="1">
        <v>45113</v>
      </c>
      <c r="E358">
        <v>634</v>
      </c>
      <c r="F358" t="s">
        <v>28</v>
      </c>
      <c r="G358">
        <v>10989</v>
      </c>
      <c r="H358">
        <v>8317</v>
      </c>
      <c r="I358">
        <v>103</v>
      </c>
      <c r="J358">
        <v>146</v>
      </c>
      <c r="K358">
        <v>1604394</v>
      </c>
      <c r="L358">
        <v>248927</v>
      </c>
      <c r="M358">
        <v>1355467</v>
      </c>
      <c r="N358">
        <f t="shared" si="30"/>
        <v>1214282</v>
      </c>
      <c r="O358">
        <f t="shared" si="31"/>
        <v>141185</v>
      </c>
      <c r="P358">
        <f t="shared" si="32"/>
        <v>0.10415967338194143</v>
      </c>
      <c r="Q358">
        <v>3</v>
      </c>
      <c r="R358">
        <v>29670</v>
      </c>
      <c r="S358">
        <f t="shared" si="33"/>
        <v>2.9126213592233011E-2</v>
      </c>
      <c r="T358">
        <v>42</v>
      </c>
      <c r="U358">
        <v>3.7</v>
      </c>
      <c r="V358">
        <v>177809</v>
      </c>
      <c r="W358">
        <v>2908042</v>
      </c>
      <c r="X358">
        <f t="shared" si="34"/>
        <v>16.354863927022816</v>
      </c>
      <c r="Y358" t="str">
        <f t="shared" si="35"/>
        <v>Weak Product</v>
      </c>
    </row>
    <row r="359" spans="1:25" x14ac:dyDescent="0.3">
      <c r="A359" t="s">
        <v>751</v>
      </c>
      <c r="B359" t="s">
        <v>752</v>
      </c>
      <c r="C359" t="s">
        <v>658</v>
      </c>
      <c r="D359" s="1">
        <v>45156</v>
      </c>
      <c r="E359">
        <v>591</v>
      </c>
      <c r="F359" t="s">
        <v>28</v>
      </c>
      <c r="G359">
        <v>5685</v>
      </c>
      <c r="H359">
        <v>3966</v>
      </c>
      <c r="I359">
        <v>103</v>
      </c>
      <c r="J359">
        <v>153</v>
      </c>
      <c r="K359">
        <v>869805</v>
      </c>
      <c r="L359">
        <v>146044</v>
      </c>
      <c r="M359">
        <v>723761</v>
      </c>
      <c r="N359">
        <f t="shared" si="30"/>
        <v>606798</v>
      </c>
      <c r="O359">
        <f t="shared" si="31"/>
        <v>116963</v>
      </c>
      <c r="P359">
        <f t="shared" si="32"/>
        <v>0.16160445229847975</v>
      </c>
      <c r="Q359">
        <v>11</v>
      </c>
      <c r="R359">
        <v>56276</v>
      </c>
      <c r="S359">
        <f t="shared" si="33"/>
        <v>0.10679611650485436</v>
      </c>
      <c r="T359">
        <v>41</v>
      </c>
      <c r="U359">
        <v>3.79</v>
      </c>
      <c r="V359">
        <v>677847</v>
      </c>
      <c r="W359">
        <v>3511223</v>
      </c>
      <c r="X359">
        <f t="shared" si="34"/>
        <v>5.1799639151607959</v>
      </c>
      <c r="Y359" t="str">
        <f t="shared" si="35"/>
        <v>Weak Product</v>
      </c>
    </row>
    <row r="360" spans="1:25" x14ac:dyDescent="0.3">
      <c r="A360" t="s">
        <v>753</v>
      </c>
      <c r="B360" t="s">
        <v>754</v>
      </c>
      <c r="C360" t="s">
        <v>658</v>
      </c>
      <c r="D360" s="1">
        <v>44927</v>
      </c>
      <c r="E360">
        <v>820</v>
      </c>
      <c r="F360" t="s">
        <v>28</v>
      </c>
      <c r="G360">
        <v>8982</v>
      </c>
      <c r="H360">
        <v>4638</v>
      </c>
      <c r="I360">
        <v>37</v>
      </c>
      <c r="J360">
        <v>55</v>
      </c>
      <c r="K360">
        <v>494010</v>
      </c>
      <c r="L360">
        <v>52665</v>
      </c>
      <c r="M360">
        <v>441345</v>
      </c>
      <c r="N360">
        <f t="shared" si="30"/>
        <v>255090</v>
      </c>
      <c r="O360">
        <f t="shared" si="31"/>
        <v>186255</v>
      </c>
      <c r="P360">
        <f t="shared" si="32"/>
        <v>0.422016789586378</v>
      </c>
      <c r="Q360">
        <v>3</v>
      </c>
      <c r="R360">
        <v>24249</v>
      </c>
      <c r="S360">
        <f t="shared" si="33"/>
        <v>8.1081081081081086E-2</v>
      </c>
      <c r="T360">
        <v>17</v>
      </c>
      <c r="U360">
        <v>4.53</v>
      </c>
      <c r="V360">
        <v>482118</v>
      </c>
      <c r="W360">
        <v>5625659</v>
      </c>
      <c r="X360">
        <f t="shared" si="34"/>
        <v>11.668635064444803</v>
      </c>
      <c r="Y360" t="str">
        <f t="shared" si="35"/>
        <v>Weak Product</v>
      </c>
    </row>
    <row r="361" spans="1:25" x14ac:dyDescent="0.3">
      <c r="A361" t="s">
        <v>755</v>
      </c>
      <c r="B361" t="s">
        <v>756</v>
      </c>
      <c r="C361" t="s">
        <v>658</v>
      </c>
      <c r="D361" s="1">
        <v>45563</v>
      </c>
      <c r="E361">
        <v>184</v>
      </c>
      <c r="F361" t="s">
        <v>28</v>
      </c>
      <c r="G361">
        <v>11040</v>
      </c>
      <c r="H361">
        <v>9199</v>
      </c>
      <c r="I361">
        <v>61</v>
      </c>
      <c r="J361">
        <v>93</v>
      </c>
      <c r="K361">
        <v>1026720</v>
      </c>
      <c r="L361">
        <v>101737</v>
      </c>
      <c r="M361">
        <v>924983</v>
      </c>
      <c r="N361">
        <f t="shared" si="30"/>
        <v>855507</v>
      </c>
      <c r="O361">
        <f t="shared" si="31"/>
        <v>69476</v>
      </c>
      <c r="P361">
        <f t="shared" si="32"/>
        <v>7.5110569599657506E-2</v>
      </c>
      <c r="Q361">
        <v>0</v>
      </c>
      <c r="R361">
        <v>0</v>
      </c>
      <c r="S361">
        <f t="shared" si="33"/>
        <v>0</v>
      </c>
      <c r="T361">
        <v>22</v>
      </c>
      <c r="U361">
        <v>3.14</v>
      </c>
      <c r="V361">
        <v>251410</v>
      </c>
      <c r="W361">
        <v>3261759</v>
      </c>
      <c r="X361">
        <f t="shared" si="34"/>
        <v>12.973863410365539</v>
      </c>
      <c r="Y361" t="str">
        <f t="shared" si="35"/>
        <v>Weak Product</v>
      </c>
    </row>
    <row r="362" spans="1:25" x14ac:dyDescent="0.3">
      <c r="A362" t="s">
        <v>757</v>
      </c>
      <c r="B362" t="s">
        <v>758</v>
      </c>
      <c r="C362" t="s">
        <v>658</v>
      </c>
      <c r="D362" s="1">
        <v>45298</v>
      </c>
      <c r="E362">
        <v>449</v>
      </c>
      <c r="F362" t="s">
        <v>28</v>
      </c>
      <c r="G362">
        <v>1317</v>
      </c>
      <c r="H362">
        <v>621</v>
      </c>
      <c r="I362">
        <v>93</v>
      </c>
      <c r="J362">
        <v>144</v>
      </c>
      <c r="K362">
        <v>189648</v>
      </c>
      <c r="L362">
        <v>34425</v>
      </c>
      <c r="M362">
        <v>155223</v>
      </c>
      <c r="N362">
        <f t="shared" si="30"/>
        <v>89424</v>
      </c>
      <c r="O362">
        <f t="shared" si="31"/>
        <v>65799</v>
      </c>
      <c r="P362">
        <f t="shared" si="32"/>
        <v>0.42389980866237609</v>
      </c>
      <c r="Q362">
        <v>4</v>
      </c>
      <c r="R362">
        <v>4740</v>
      </c>
      <c r="S362">
        <f t="shared" si="33"/>
        <v>4.3010752688172046E-2</v>
      </c>
      <c r="T362">
        <v>44</v>
      </c>
      <c r="U362">
        <v>4.3899999999999997</v>
      </c>
      <c r="V362">
        <v>288065</v>
      </c>
      <c r="W362">
        <v>397073</v>
      </c>
      <c r="X362">
        <f t="shared" si="34"/>
        <v>1.3784145939284536</v>
      </c>
      <c r="Y362" t="str">
        <f t="shared" si="35"/>
        <v>Star</v>
      </c>
    </row>
    <row r="363" spans="1:25" x14ac:dyDescent="0.3">
      <c r="A363" t="s">
        <v>759</v>
      </c>
      <c r="B363" t="s">
        <v>760</v>
      </c>
      <c r="C363" t="s">
        <v>658</v>
      </c>
      <c r="D363" s="1">
        <v>45634</v>
      </c>
      <c r="E363">
        <v>113</v>
      </c>
      <c r="F363" t="s">
        <v>28</v>
      </c>
      <c r="G363">
        <v>4278</v>
      </c>
      <c r="H363">
        <v>3827</v>
      </c>
      <c r="I363">
        <v>97</v>
      </c>
      <c r="J363">
        <v>138</v>
      </c>
      <c r="K363">
        <v>590364</v>
      </c>
      <c r="L363">
        <v>61335</v>
      </c>
      <c r="M363">
        <v>529029</v>
      </c>
      <c r="N363">
        <f t="shared" si="30"/>
        <v>528126</v>
      </c>
      <c r="O363">
        <f t="shared" si="31"/>
        <v>903</v>
      </c>
      <c r="P363">
        <f t="shared" si="32"/>
        <v>1.706900755913192E-3</v>
      </c>
      <c r="Q363">
        <v>2</v>
      </c>
      <c r="R363">
        <v>7700</v>
      </c>
      <c r="S363">
        <f t="shared" si="33"/>
        <v>2.0618556701030927E-2</v>
      </c>
      <c r="T363">
        <v>34</v>
      </c>
      <c r="U363">
        <v>2.91</v>
      </c>
      <c r="V363">
        <v>354053</v>
      </c>
      <c r="W363">
        <v>3216811</v>
      </c>
      <c r="X363">
        <f t="shared" si="34"/>
        <v>9.0856764382733655</v>
      </c>
      <c r="Y363" t="str">
        <f t="shared" si="35"/>
        <v>Weak Product</v>
      </c>
    </row>
    <row r="364" spans="1:25" x14ac:dyDescent="0.3">
      <c r="A364" t="s">
        <v>761</v>
      </c>
      <c r="B364" t="s">
        <v>762</v>
      </c>
      <c r="C364" t="s">
        <v>658</v>
      </c>
      <c r="D364" s="1">
        <v>44911</v>
      </c>
      <c r="E364">
        <v>836</v>
      </c>
      <c r="F364" t="s">
        <v>28</v>
      </c>
      <c r="G364">
        <v>19380</v>
      </c>
      <c r="H364">
        <v>12330</v>
      </c>
      <c r="I364">
        <v>62</v>
      </c>
      <c r="J364">
        <v>91</v>
      </c>
      <c r="K364">
        <v>1763580</v>
      </c>
      <c r="L364">
        <v>249267</v>
      </c>
      <c r="M364">
        <v>1514313</v>
      </c>
      <c r="N364">
        <f t="shared" si="30"/>
        <v>1122030</v>
      </c>
      <c r="O364">
        <f t="shared" si="31"/>
        <v>392283</v>
      </c>
      <c r="P364">
        <f t="shared" si="32"/>
        <v>0.2590501435304326</v>
      </c>
      <c r="Q364">
        <v>6</v>
      </c>
      <c r="R364">
        <v>104652</v>
      </c>
      <c r="S364">
        <f t="shared" si="33"/>
        <v>9.6774193548387094E-2</v>
      </c>
      <c r="T364">
        <v>19</v>
      </c>
      <c r="U364">
        <v>3.95</v>
      </c>
      <c r="V364">
        <v>475797</v>
      </c>
      <c r="W364">
        <v>13306547</v>
      </c>
      <c r="X364">
        <f t="shared" si="34"/>
        <v>27.966857714529517</v>
      </c>
      <c r="Y364" t="str">
        <f t="shared" si="35"/>
        <v>Weak Product</v>
      </c>
    </row>
    <row r="365" spans="1:25" x14ac:dyDescent="0.3">
      <c r="A365" t="s">
        <v>763</v>
      </c>
      <c r="B365" t="s">
        <v>764</v>
      </c>
      <c r="C365" t="s">
        <v>658</v>
      </c>
      <c r="D365" s="1">
        <v>45307</v>
      </c>
      <c r="E365">
        <v>440</v>
      </c>
      <c r="F365" t="s">
        <v>28</v>
      </c>
      <c r="G365">
        <v>4313</v>
      </c>
      <c r="H365">
        <v>3798</v>
      </c>
      <c r="I365">
        <v>127</v>
      </c>
      <c r="J365">
        <v>200</v>
      </c>
      <c r="K365">
        <v>862600</v>
      </c>
      <c r="L365">
        <v>141618</v>
      </c>
      <c r="M365">
        <v>720982</v>
      </c>
      <c r="N365">
        <f t="shared" si="30"/>
        <v>759600</v>
      </c>
      <c r="O365">
        <f t="shared" si="31"/>
        <v>-38618</v>
      </c>
      <c r="P365">
        <f t="shared" si="32"/>
        <v>-5.3563057052741954E-2</v>
      </c>
      <c r="Q365">
        <v>15</v>
      </c>
      <c r="R365">
        <v>58215</v>
      </c>
      <c r="S365">
        <f t="shared" si="33"/>
        <v>0.11811023622047244</v>
      </c>
      <c r="T365">
        <v>50</v>
      </c>
      <c r="U365">
        <v>3.08</v>
      </c>
      <c r="V365">
        <v>372313</v>
      </c>
      <c r="W365">
        <v>2123857</v>
      </c>
      <c r="X365">
        <f t="shared" si="34"/>
        <v>5.7044932623894411</v>
      </c>
      <c r="Y365" t="str">
        <f t="shared" si="35"/>
        <v>Weak Product</v>
      </c>
    </row>
    <row r="366" spans="1:25" x14ac:dyDescent="0.3">
      <c r="A366" t="s">
        <v>765</v>
      </c>
      <c r="B366" t="s">
        <v>766</v>
      </c>
      <c r="C366" t="s">
        <v>658</v>
      </c>
      <c r="D366" s="1">
        <v>45011</v>
      </c>
      <c r="E366">
        <v>736</v>
      </c>
      <c r="F366" t="s">
        <v>28</v>
      </c>
      <c r="G366">
        <v>12840</v>
      </c>
      <c r="H366">
        <v>7608</v>
      </c>
      <c r="I366">
        <v>62</v>
      </c>
      <c r="J366">
        <v>91</v>
      </c>
      <c r="K366">
        <v>1168440</v>
      </c>
      <c r="L366">
        <v>158819</v>
      </c>
      <c r="M366">
        <v>1009621</v>
      </c>
      <c r="N366">
        <f t="shared" si="30"/>
        <v>692328</v>
      </c>
      <c r="O366">
        <f t="shared" si="31"/>
        <v>317293</v>
      </c>
      <c r="P366">
        <f t="shared" si="32"/>
        <v>0.31426941396821184</v>
      </c>
      <c r="Q366">
        <v>3</v>
      </c>
      <c r="R366">
        <v>34668</v>
      </c>
      <c r="S366">
        <f t="shared" si="33"/>
        <v>4.8387096774193547E-2</v>
      </c>
      <c r="T366">
        <v>21</v>
      </c>
      <c r="U366">
        <v>4.1399999999999997</v>
      </c>
      <c r="V366">
        <v>276472</v>
      </c>
      <c r="W366">
        <v>5477300</v>
      </c>
      <c r="X366">
        <f t="shared" si="34"/>
        <v>19.81140947365375</v>
      </c>
      <c r="Y366" t="str">
        <f t="shared" si="35"/>
        <v>Star</v>
      </c>
    </row>
    <row r="367" spans="1:25" x14ac:dyDescent="0.3">
      <c r="A367" t="s">
        <v>767</v>
      </c>
      <c r="B367" t="s">
        <v>768</v>
      </c>
      <c r="C367" t="s">
        <v>658</v>
      </c>
      <c r="D367" s="1">
        <v>45345</v>
      </c>
      <c r="E367">
        <v>402</v>
      </c>
      <c r="F367" t="s">
        <v>28</v>
      </c>
      <c r="G367">
        <v>8352</v>
      </c>
      <c r="H367">
        <v>5084</v>
      </c>
      <c r="I367">
        <v>70</v>
      </c>
      <c r="J367">
        <v>105</v>
      </c>
      <c r="K367">
        <v>876960</v>
      </c>
      <c r="L367">
        <v>74371</v>
      </c>
      <c r="M367">
        <v>802589</v>
      </c>
      <c r="N367">
        <f t="shared" si="30"/>
        <v>533820</v>
      </c>
      <c r="O367">
        <f t="shared" si="31"/>
        <v>268769</v>
      </c>
      <c r="P367">
        <f t="shared" si="32"/>
        <v>0.33487750268194555</v>
      </c>
      <c r="Q367">
        <v>8</v>
      </c>
      <c r="R367">
        <v>60128</v>
      </c>
      <c r="S367">
        <f t="shared" si="33"/>
        <v>0.11428571428571428</v>
      </c>
      <c r="T367">
        <v>26</v>
      </c>
      <c r="U367">
        <v>3.83</v>
      </c>
      <c r="V367">
        <v>455978</v>
      </c>
      <c r="W367">
        <v>2982419</v>
      </c>
      <c r="X367">
        <f t="shared" si="34"/>
        <v>6.5407081043383668</v>
      </c>
      <c r="Y367" t="str">
        <f t="shared" si="35"/>
        <v>Weak Product</v>
      </c>
    </row>
    <row r="368" spans="1:25" x14ac:dyDescent="0.3">
      <c r="A368" t="s">
        <v>769</v>
      </c>
      <c r="B368" t="s">
        <v>770</v>
      </c>
      <c r="C368" t="s">
        <v>658</v>
      </c>
      <c r="D368" s="1">
        <v>45656</v>
      </c>
      <c r="E368">
        <v>91</v>
      </c>
      <c r="F368" t="s">
        <v>28</v>
      </c>
      <c r="G368">
        <v>17528</v>
      </c>
      <c r="H368">
        <v>13810</v>
      </c>
      <c r="I368">
        <v>43</v>
      </c>
      <c r="J368">
        <v>66</v>
      </c>
      <c r="K368">
        <v>1156848</v>
      </c>
      <c r="L368">
        <v>192880</v>
      </c>
      <c r="M368">
        <v>963968</v>
      </c>
      <c r="N368">
        <f t="shared" si="30"/>
        <v>911460</v>
      </c>
      <c r="O368">
        <f t="shared" si="31"/>
        <v>52508</v>
      </c>
      <c r="P368">
        <f t="shared" si="32"/>
        <v>5.4470687823662198E-2</v>
      </c>
      <c r="Q368">
        <v>5</v>
      </c>
      <c r="R368">
        <v>78875</v>
      </c>
      <c r="S368">
        <f t="shared" si="33"/>
        <v>0.11627906976744186</v>
      </c>
      <c r="T368">
        <v>15</v>
      </c>
      <c r="U368">
        <v>3.13</v>
      </c>
      <c r="V368">
        <v>96073</v>
      </c>
      <c r="W368">
        <v>1975827</v>
      </c>
      <c r="X368">
        <f t="shared" si="34"/>
        <v>20.565892602500181</v>
      </c>
      <c r="Y368" t="str">
        <f t="shared" si="35"/>
        <v>Weak Product</v>
      </c>
    </row>
    <row r="369" spans="1:25" x14ac:dyDescent="0.3">
      <c r="A369" t="s">
        <v>771</v>
      </c>
      <c r="B369" t="s">
        <v>772</v>
      </c>
      <c r="C369" t="s">
        <v>658</v>
      </c>
      <c r="D369" s="1">
        <v>45414</v>
      </c>
      <c r="E369">
        <v>333</v>
      </c>
      <c r="F369" t="s">
        <v>28</v>
      </c>
      <c r="G369">
        <v>16180</v>
      </c>
      <c r="H369">
        <v>12057</v>
      </c>
      <c r="I369">
        <v>52</v>
      </c>
      <c r="J369">
        <v>74</v>
      </c>
      <c r="K369">
        <v>1197320</v>
      </c>
      <c r="L369">
        <v>228627</v>
      </c>
      <c r="M369">
        <v>968693</v>
      </c>
      <c r="N369">
        <f t="shared" si="30"/>
        <v>892218</v>
      </c>
      <c r="O369">
        <f t="shared" si="31"/>
        <v>76475</v>
      </c>
      <c r="P369">
        <f t="shared" si="32"/>
        <v>7.894658059880684E-2</v>
      </c>
      <c r="Q369">
        <v>1</v>
      </c>
      <c r="R369">
        <v>14562</v>
      </c>
      <c r="S369">
        <f t="shared" si="33"/>
        <v>1.9230769230769232E-2</v>
      </c>
      <c r="T369">
        <v>21</v>
      </c>
      <c r="U369">
        <v>3.71</v>
      </c>
      <c r="V369">
        <v>181347</v>
      </c>
      <c r="W369">
        <v>2209089</v>
      </c>
      <c r="X369">
        <f t="shared" si="34"/>
        <v>12.181558007576635</v>
      </c>
      <c r="Y369" t="str">
        <f t="shared" si="35"/>
        <v>Weak Product</v>
      </c>
    </row>
    <row r="370" spans="1:25" x14ac:dyDescent="0.3">
      <c r="A370" t="s">
        <v>773</v>
      </c>
      <c r="B370" t="s">
        <v>774</v>
      </c>
      <c r="C370" t="s">
        <v>658</v>
      </c>
      <c r="D370" s="1">
        <v>45318</v>
      </c>
      <c r="E370">
        <v>429</v>
      </c>
      <c r="F370" t="s">
        <v>28</v>
      </c>
      <c r="G370">
        <v>9504</v>
      </c>
      <c r="H370">
        <v>8303</v>
      </c>
      <c r="I370">
        <v>113</v>
      </c>
      <c r="J370">
        <v>172</v>
      </c>
      <c r="K370">
        <v>1634688</v>
      </c>
      <c r="L370">
        <v>164968</v>
      </c>
      <c r="M370">
        <v>1469720</v>
      </c>
      <c r="N370">
        <f t="shared" si="30"/>
        <v>1428116</v>
      </c>
      <c r="O370">
        <f t="shared" si="31"/>
        <v>41604</v>
      </c>
      <c r="P370">
        <f t="shared" si="32"/>
        <v>2.8307432708270963E-2</v>
      </c>
      <c r="Q370">
        <v>10</v>
      </c>
      <c r="R370">
        <v>85530</v>
      </c>
      <c r="S370">
        <f t="shared" si="33"/>
        <v>8.8495575221238937E-2</v>
      </c>
      <c r="T370">
        <v>44</v>
      </c>
      <c r="U370">
        <v>2.81</v>
      </c>
      <c r="V370">
        <v>117716</v>
      </c>
      <c r="W370">
        <v>2362076</v>
      </c>
      <c r="X370">
        <f t="shared" si="34"/>
        <v>20.065887389989467</v>
      </c>
      <c r="Y370" t="str">
        <f t="shared" si="35"/>
        <v>Weak Product</v>
      </c>
    </row>
    <row r="371" spans="1:25" x14ac:dyDescent="0.3">
      <c r="A371" t="s">
        <v>775</v>
      </c>
      <c r="B371" t="s">
        <v>776</v>
      </c>
      <c r="C371" t="s">
        <v>658</v>
      </c>
      <c r="D371" s="1">
        <v>45645</v>
      </c>
      <c r="E371">
        <v>102</v>
      </c>
      <c r="F371" t="s">
        <v>28</v>
      </c>
      <c r="G371">
        <v>9032</v>
      </c>
      <c r="H371">
        <v>5959</v>
      </c>
      <c r="I371">
        <v>55</v>
      </c>
      <c r="J371">
        <v>83</v>
      </c>
      <c r="K371">
        <v>749656</v>
      </c>
      <c r="L371">
        <v>114136</v>
      </c>
      <c r="M371">
        <v>635520</v>
      </c>
      <c r="N371">
        <f t="shared" si="30"/>
        <v>494597</v>
      </c>
      <c r="O371">
        <f t="shared" si="31"/>
        <v>140923</v>
      </c>
      <c r="P371">
        <f t="shared" si="32"/>
        <v>0.22174439828801612</v>
      </c>
      <c r="Q371">
        <v>4</v>
      </c>
      <c r="R371">
        <v>32512</v>
      </c>
      <c r="S371">
        <f t="shared" si="33"/>
        <v>7.2727272727272724E-2</v>
      </c>
      <c r="T371">
        <v>26</v>
      </c>
      <c r="U371">
        <v>3.96</v>
      </c>
      <c r="V371">
        <v>449969</v>
      </c>
      <c r="W371">
        <v>5359897</v>
      </c>
      <c r="X371">
        <f t="shared" si="34"/>
        <v>11.911702806193315</v>
      </c>
      <c r="Y371" t="str">
        <f t="shared" si="35"/>
        <v>Weak Product</v>
      </c>
    </row>
    <row r="372" spans="1:25" x14ac:dyDescent="0.3">
      <c r="A372" t="s">
        <v>777</v>
      </c>
      <c r="B372" t="s">
        <v>778</v>
      </c>
      <c r="C372" t="s">
        <v>658</v>
      </c>
      <c r="D372" s="1">
        <v>45012</v>
      </c>
      <c r="E372">
        <v>735</v>
      </c>
      <c r="F372" t="s">
        <v>28</v>
      </c>
      <c r="G372">
        <v>11925</v>
      </c>
      <c r="H372">
        <v>5713</v>
      </c>
      <c r="I372">
        <v>96</v>
      </c>
      <c r="J372">
        <v>146</v>
      </c>
      <c r="K372">
        <v>1741050</v>
      </c>
      <c r="L372">
        <v>330925</v>
      </c>
      <c r="M372">
        <v>1410125</v>
      </c>
      <c r="N372">
        <f t="shared" si="30"/>
        <v>834098</v>
      </c>
      <c r="O372">
        <f t="shared" si="31"/>
        <v>576027</v>
      </c>
      <c r="P372">
        <f t="shared" si="32"/>
        <v>0.40849357326478147</v>
      </c>
      <c r="Q372">
        <v>2</v>
      </c>
      <c r="R372">
        <v>21464</v>
      </c>
      <c r="S372">
        <f t="shared" si="33"/>
        <v>2.0833333333333332E-2</v>
      </c>
      <c r="T372">
        <v>43</v>
      </c>
      <c r="U372">
        <v>4.41</v>
      </c>
      <c r="V372">
        <v>609334</v>
      </c>
      <c r="W372">
        <v>6795903</v>
      </c>
      <c r="X372">
        <f t="shared" si="34"/>
        <v>11.153001473740181</v>
      </c>
      <c r="Y372" t="str">
        <f t="shared" si="35"/>
        <v>Star</v>
      </c>
    </row>
    <row r="373" spans="1:25" x14ac:dyDescent="0.3">
      <c r="A373" t="s">
        <v>779</v>
      </c>
      <c r="B373" t="s">
        <v>780</v>
      </c>
      <c r="C373" t="s">
        <v>658</v>
      </c>
      <c r="D373" s="1">
        <v>45195</v>
      </c>
      <c r="E373">
        <v>552</v>
      </c>
      <c r="F373" t="s">
        <v>28</v>
      </c>
      <c r="G373">
        <v>1223</v>
      </c>
      <c r="H373">
        <v>713</v>
      </c>
      <c r="I373">
        <v>107</v>
      </c>
      <c r="J373">
        <v>163</v>
      </c>
      <c r="K373">
        <v>199349</v>
      </c>
      <c r="L373">
        <v>26050</v>
      </c>
      <c r="M373">
        <v>173299</v>
      </c>
      <c r="N373">
        <f t="shared" si="30"/>
        <v>116219</v>
      </c>
      <c r="O373">
        <f t="shared" si="31"/>
        <v>57080</v>
      </c>
      <c r="P373">
        <f t="shared" si="32"/>
        <v>0.32937293348490182</v>
      </c>
      <c r="Q373">
        <v>8</v>
      </c>
      <c r="R373">
        <v>8800</v>
      </c>
      <c r="S373">
        <f t="shared" si="33"/>
        <v>7.476635514018691E-2</v>
      </c>
      <c r="T373">
        <v>44</v>
      </c>
      <c r="U373">
        <v>4.22</v>
      </c>
      <c r="V373">
        <v>472299</v>
      </c>
      <c r="W373">
        <v>890046</v>
      </c>
      <c r="X373">
        <f t="shared" si="34"/>
        <v>1.8844968970927316</v>
      </c>
      <c r="Y373" t="str">
        <f t="shared" si="35"/>
        <v>Weak Product</v>
      </c>
    </row>
    <row r="374" spans="1:25" x14ac:dyDescent="0.3">
      <c r="A374" t="s">
        <v>781</v>
      </c>
      <c r="B374" t="s">
        <v>782</v>
      </c>
      <c r="C374" t="s">
        <v>658</v>
      </c>
      <c r="D374" s="1">
        <v>45337</v>
      </c>
      <c r="E374">
        <v>410</v>
      </c>
      <c r="F374" t="s">
        <v>28</v>
      </c>
      <c r="G374">
        <v>18063</v>
      </c>
      <c r="H374">
        <v>13744</v>
      </c>
      <c r="I374">
        <v>67</v>
      </c>
      <c r="J374">
        <v>106</v>
      </c>
      <c r="K374">
        <v>1914678</v>
      </c>
      <c r="L374">
        <v>183203</v>
      </c>
      <c r="M374">
        <v>1731475</v>
      </c>
      <c r="N374">
        <f t="shared" si="30"/>
        <v>1456864</v>
      </c>
      <c r="O374">
        <f t="shared" si="31"/>
        <v>274611</v>
      </c>
      <c r="P374">
        <f t="shared" si="32"/>
        <v>0.15859945999797861</v>
      </c>
      <c r="Q374">
        <v>7</v>
      </c>
      <c r="R374">
        <v>113792</v>
      </c>
      <c r="S374">
        <f t="shared" si="33"/>
        <v>0.1044776119402985</v>
      </c>
      <c r="T374">
        <v>36</v>
      </c>
      <c r="U374">
        <v>3.43</v>
      </c>
      <c r="V374">
        <v>71815</v>
      </c>
      <c r="W374">
        <v>2984037</v>
      </c>
      <c r="X374">
        <f t="shared" si="34"/>
        <v>41.551723177609134</v>
      </c>
      <c r="Y374" t="str">
        <f t="shared" si="35"/>
        <v>Weak Product</v>
      </c>
    </row>
    <row r="375" spans="1:25" x14ac:dyDescent="0.3">
      <c r="A375" t="s">
        <v>783</v>
      </c>
      <c r="B375" t="s">
        <v>784</v>
      </c>
      <c r="C375" t="s">
        <v>658</v>
      </c>
      <c r="D375" s="1">
        <v>45041</v>
      </c>
      <c r="E375">
        <v>706</v>
      </c>
      <c r="F375" t="s">
        <v>28</v>
      </c>
      <c r="G375">
        <v>11169</v>
      </c>
      <c r="H375">
        <v>5438</v>
      </c>
      <c r="I375">
        <v>32</v>
      </c>
      <c r="J375">
        <v>45</v>
      </c>
      <c r="K375">
        <v>502605</v>
      </c>
      <c r="L375">
        <v>85688</v>
      </c>
      <c r="M375">
        <v>416917</v>
      </c>
      <c r="N375">
        <f t="shared" si="30"/>
        <v>244710</v>
      </c>
      <c r="O375">
        <f t="shared" si="31"/>
        <v>172207</v>
      </c>
      <c r="P375">
        <f t="shared" si="32"/>
        <v>0.41304864037686156</v>
      </c>
      <c r="Q375">
        <v>2</v>
      </c>
      <c r="R375">
        <v>20104</v>
      </c>
      <c r="S375">
        <f t="shared" si="33"/>
        <v>6.25E-2</v>
      </c>
      <c r="T375">
        <v>13</v>
      </c>
      <c r="U375">
        <v>4.42</v>
      </c>
      <c r="V375">
        <v>637279</v>
      </c>
      <c r="W375">
        <v>8848909</v>
      </c>
      <c r="X375">
        <f t="shared" si="34"/>
        <v>13.885455193094391</v>
      </c>
      <c r="Y375" t="str">
        <f t="shared" si="35"/>
        <v>Weak Product</v>
      </c>
    </row>
    <row r="376" spans="1:25" x14ac:dyDescent="0.3">
      <c r="A376" t="s">
        <v>785</v>
      </c>
      <c r="B376" t="s">
        <v>786</v>
      </c>
      <c r="C376" t="s">
        <v>658</v>
      </c>
      <c r="D376" s="1">
        <v>44980</v>
      </c>
      <c r="E376">
        <v>767</v>
      </c>
      <c r="F376" t="s">
        <v>28</v>
      </c>
      <c r="G376">
        <v>19521</v>
      </c>
      <c r="H376">
        <v>11378</v>
      </c>
      <c r="I376">
        <v>50</v>
      </c>
      <c r="J376">
        <v>73</v>
      </c>
      <c r="K376">
        <v>1425033</v>
      </c>
      <c r="L376">
        <v>286819</v>
      </c>
      <c r="M376">
        <v>1138214</v>
      </c>
      <c r="N376">
        <f t="shared" si="30"/>
        <v>830594</v>
      </c>
      <c r="O376">
        <f t="shared" si="31"/>
        <v>307620</v>
      </c>
      <c r="P376">
        <f t="shared" si="32"/>
        <v>0.27026552124644398</v>
      </c>
      <c r="Q376">
        <v>4</v>
      </c>
      <c r="R376">
        <v>70272</v>
      </c>
      <c r="S376">
        <f t="shared" si="33"/>
        <v>0.08</v>
      </c>
      <c r="T376">
        <v>20</v>
      </c>
      <c r="U376">
        <v>3.93</v>
      </c>
      <c r="V376">
        <v>381711</v>
      </c>
      <c r="W376">
        <v>7116308</v>
      </c>
      <c r="X376">
        <f t="shared" si="34"/>
        <v>18.643182931589607</v>
      </c>
      <c r="Y376" t="str">
        <f t="shared" si="35"/>
        <v>Weak Product</v>
      </c>
    </row>
    <row r="377" spans="1:25" x14ac:dyDescent="0.3">
      <c r="A377" t="s">
        <v>787</v>
      </c>
      <c r="B377" t="s">
        <v>788</v>
      </c>
      <c r="C377" t="s">
        <v>658</v>
      </c>
      <c r="D377" s="1">
        <v>45144</v>
      </c>
      <c r="E377">
        <v>603</v>
      </c>
      <c r="F377" t="s">
        <v>28</v>
      </c>
      <c r="G377">
        <v>19501</v>
      </c>
      <c r="H377">
        <v>16664</v>
      </c>
      <c r="I377">
        <v>35</v>
      </c>
      <c r="J377">
        <v>57</v>
      </c>
      <c r="K377">
        <v>1111557</v>
      </c>
      <c r="L377">
        <v>117828</v>
      </c>
      <c r="M377">
        <v>993729</v>
      </c>
      <c r="N377">
        <f t="shared" si="30"/>
        <v>949848</v>
      </c>
      <c r="O377">
        <f t="shared" si="31"/>
        <v>43881</v>
      </c>
      <c r="P377">
        <f t="shared" si="32"/>
        <v>4.4157914280452716E-2</v>
      </c>
      <c r="Q377">
        <v>2</v>
      </c>
      <c r="R377">
        <v>35100</v>
      </c>
      <c r="S377">
        <f t="shared" si="33"/>
        <v>5.7142857142857141E-2</v>
      </c>
      <c r="T377">
        <v>12</v>
      </c>
      <c r="U377">
        <v>3</v>
      </c>
      <c r="V377">
        <v>268387</v>
      </c>
      <c r="W377">
        <v>7379081</v>
      </c>
      <c r="X377">
        <f t="shared" si="34"/>
        <v>27.494181908959824</v>
      </c>
      <c r="Y377" t="str">
        <f t="shared" si="35"/>
        <v>Weak Product</v>
      </c>
    </row>
    <row r="378" spans="1:25" x14ac:dyDescent="0.3">
      <c r="A378" t="s">
        <v>789</v>
      </c>
      <c r="B378" t="s">
        <v>790</v>
      </c>
      <c r="C378" t="s">
        <v>658</v>
      </c>
      <c r="D378" s="1">
        <v>45410</v>
      </c>
      <c r="E378">
        <v>337</v>
      </c>
      <c r="F378" t="s">
        <v>28</v>
      </c>
      <c r="G378">
        <v>10695</v>
      </c>
      <c r="H378">
        <v>8787</v>
      </c>
      <c r="I378">
        <v>68</v>
      </c>
      <c r="J378">
        <v>109</v>
      </c>
      <c r="K378">
        <v>1165755</v>
      </c>
      <c r="L378">
        <v>150042</v>
      </c>
      <c r="M378">
        <v>1015713</v>
      </c>
      <c r="N378">
        <f t="shared" si="30"/>
        <v>957783</v>
      </c>
      <c r="O378">
        <f t="shared" si="31"/>
        <v>57930</v>
      </c>
      <c r="P378">
        <f t="shared" si="32"/>
        <v>5.703382746897992E-2</v>
      </c>
      <c r="Q378">
        <v>5</v>
      </c>
      <c r="R378">
        <v>48125</v>
      </c>
      <c r="S378">
        <f t="shared" si="33"/>
        <v>7.3529411764705885E-2</v>
      </c>
      <c r="T378">
        <v>27</v>
      </c>
      <c r="U378">
        <v>3.15</v>
      </c>
      <c r="V378">
        <v>593481</v>
      </c>
      <c r="W378">
        <v>5644688</v>
      </c>
      <c r="X378">
        <f t="shared" si="34"/>
        <v>9.5111519998112826</v>
      </c>
      <c r="Y378" t="str">
        <f t="shared" si="35"/>
        <v>Weak Product</v>
      </c>
    </row>
    <row r="379" spans="1:25" x14ac:dyDescent="0.3">
      <c r="A379" t="s">
        <v>791</v>
      </c>
      <c r="B379" t="s">
        <v>792</v>
      </c>
      <c r="C379" t="s">
        <v>658</v>
      </c>
      <c r="D379" s="1">
        <v>45540</v>
      </c>
      <c r="E379">
        <v>207</v>
      </c>
      <c r="F379" t="s">
        <v>28</v>
      </c>
      <c r="G379">
        <v>12697</v>
      </c>
      <c r="H379">
        <v>9674</v>
      </c>
      <c r="I379">
        <v>40</v>
      </c>
      <c r="J379">
        <v>56</v>
      </c>
      <c r="K379">
        <v>711032</v>
      </c>
      <c r="L379">
        <v>145470</v>
      </c>
      <c r="M379">
        <v>565562</v>
      </c>
      <c r="N379">
        <f t="shared" si="30"/>
        <v>541744</v>
      </c>
      <c r="O379">
        <f t="shared" si="31"/>
        <v>23818</v>
      </c>
      <c r="P379">
        <f t="shared" si="32"/>
        <v>4.2113861963851883E-2</v>
      </c>
      <c r="Q379">
        <v>1</v>
      </c>
      <c r="R379">
        <v>11427</v>
      </c>
      <c r="S379">
        <f t="shared" si="33"/>
        <v>2.5000000000000001E-2</v>
      </c>
      <c r="T379">
        <v>16</v>
      </c>
      <c r="U379">
        <v>3.47</v>
      </c>
      <c r="V379">
        <v>419429</v>
      </c>
      <c r="W379">
        <v>3304431</v>
      </c>
      <c r="X379">
        <f t="shared" si="34"/>
        <v>7.8784037346010889</v>
      </c>
      <c r="Y379" t="str">
        <f t="shared" si="35"/>
        <v>Weak Product</v>
      </c>
    </row>
    <row r="380" spans="1:25" x14ac:dyDescent="0.3">
      <c r="A380" t="s">
        <v>793</v>
      </c>
      <c r="B380" t="s">
        <v>794</v>
      </c>
      <c r="C380" t="s">
        <v>658</v>
      </c>
      <c r="D380" s="1">
        <v>45461</v>
      </c>
      <c r="E380">
        <v>286</v>
      </c>
      <c r="F380" t="s">
        <v>28</v>
      </c>
      <c r="G380">
        <v>10726</v>
      </c>
      <c r="H380">
        <v>5207</v>
      </c>
      <c r="I380">
        <v>88</v>
      </c>
      <c r="J380">
        <v>132</v>
      </c>
      <c r="K380">
        <v>1415832</v>
      </c>
      <c r="L380">
        <v>135942</v>
      </c>
      <c r="M380">
        <v>1279890</v>
      </c>
      <c r="N380">
        <f t="shared" si="30"/>
        <v>687324</v>
      </c>
      <c r="O380">
        <f t="shared" si="31"/>
        <v>592566</v>
      </c>
      <c r="P380">
        <f t="shared" si="32"/>
        <v>0.46298197501347771</v>
      </c>
      <c r="Q380">
        <v>1</v>
      </c>
      <c r="R380">
        <v>9653</v>
      </c>
      <c r="S380">
        <f t="shared" si="33"/>
        <v>1.1363636363636364E-2</v>
      </c>
      <c r="T380">
        <v>35</v>
      </c>
      <c r="U380">
        <v>4.1900000000000004</v>
      </c>
      <c r="V380">
        <v>53685</v>
      </c>
      <c r="W380">
        <v>1564034</v>
      </c>
      <c r="X380">
        <f t="shared" si="34"/>
        <v>29.133538232280898</v>
      </c>
      <c r="Y380" t="str">
        <f t="shared" si="35"/>
        <v>Star</v>
      </c>
    </row>
    <row r="381" spans="1:25" x14ac:dyDescent="0.3">
      <c r="A381" t="s">
        <v>795</v>
      </c>
      <c r="B381" t="s">
        <v>796</v>
      </c>
      <c r="C381" t="s">
        <v>658</v>
      </c>
      <c r="D381" s="1">
        <v>45162</v>
      </c>
      <c r="E381">
        <v>585</v>
      </c>
      <c r="F381" t="s">
        <v>28</v>
      </c>
      <c r="G381">
        <v>8097</v>
      </c>
      <c r="H381">
        <v>6023</v>
      </c>
      <c r="I381">
        <v>67</v>
      </c>
      <c r="J381">
        <v>98</v>
      </c>
      <c r="K381">
        <v>793506</v>
      </c>
      <c r="L381">
        <v>156620</v>
      </c>
      <c r="M381">
        <v>636886</v>
      </c>
      <c r="N381">
        <f t="shared" si="30"/>
        <v>590254</v>
      </c>
      <c r="O381">
        <f t="shared" si="31"/>
        <v>46632</v>
      </c>
      <c r="P381">
        <f t="shared" si="32"/>
        <v>7.3218755004820335E-2</v>
      </c>
      <c r="Q381">
        <v>2</v>
      </c>
      <c r="R381">
        <v>14574</v>
      </c>
      <c r="S381">
        <f t="shared" si="33"/>
        <v>2.9850746268656716E-2</v>
      </c>
      <c r="T381">
        <v>23</v>
      </c>
      <c r="U381">
        <v>3.61</v>
      </c>
      <c r="V381">
        <v>399394</v>
      </c>
      <c r="W381">
        <v>3292188</v>
      </c>
      <c r="X381">
        <f t="shared" si="34"/>
        <v>8.2429580814934624</v>
      </c>
      <c r="Y381" t="str">
        <f t="shared" si="35"/>
        <v>Weak Product</v>
      </c>
    </row>
    <row r="382" spans="1:25" x14ac:dyDescent="0.3">
      <c r="A382" t="s">
        <v>797</v>
      </c>
      <c r="B382" t="s">
        <v>798</v>
      </c>
      <c r="C382" t="s">
        <v>658</v>
      </c>
      <c r="D382" s="1">
        <v>45049</v>
      </c>
      <c r="E382">
        <v>698</v>
      </c>
      <c r="F382" t="s">
        <v>28</v>
      </c>
      <c r="G382">
        <v>14934</v>
      </c>
      <c r="H382">
        <v>13364</v>
      </c>
      <c r="I382">
        <v>82</v>
      </c>
      <c r="J382">
        <v>132</v>
      </c>
      <c r="K382">
        <v>1971288</v>
      </c>
      <c r="L382">
        <v>207993</v>
      </c>
      <c r="M382">
        <v>1763295</v>
      </c>
      <c r="N382">
        <f t="shared" si="30"/>
        <v>1764048</v>
      </c>
      <c r="O382">
        <f t="shared" si="31"/>
        <v>-753</v>
      </c>
      <c r="P382">
        <f t="shared" si="32"/>
        <v>-4.2704141961498216E-4</v>
      </c>
      <c r="Q382">
        <v>3</v>
      </c>
      <c r="R382">
        <v>40320</v>
      </c>
      <c r="S382">
        <f t="shared" si="33"/>
        <v>3.6585365853658534E-2</v>
      </c>
      <c r="T382">
        <v>30</v>
      </c>
      <c r="U382">
        <v>3.15</v>
      </c>
      <c r="V382">
        <v>203289</v>
      </c>
      <c r="W382">
        <v>4930694</v>
      </c>
      <c r="X382">
        <f t="shared" si="34"/>
        <v>24.254603052796757</v>
      </c>
      <c r="Y382" t="str">
        <f t="shared" si="35"/>
        <v>Weak Product</v>
      </c>
    </row>
    <row r="383" spans="1:25" x14ac:dyDescent="0.3">
      <c r="A383" t="s">
        <v>799</v>
      </c>
      <c r="B383" t="s">
        <v>800</v>
      </c>
      <c r="C383" t="s">
        <v>658</v>
      </c>
      <c r="D383" s="1">
        <v>45264</v>
      </c>
      <c r="E383">
        <v>483</v>
      </c>
      <c r="F383" t="s">
        <v>28</v>
      </c>
      <c r="G383">
        <v>12945</v>
      </c>
      <c r="H383">
        <v>9097</v>
      </c>
      <c r="I383">
        <v>104</v>
      </c>
      <c r="J383">
        <v>153</v>
      </c>
      <c r="K383">
        <v>1980585</v>
      </c>
      <c r="L383">
        <v>199642</v>
      </c>
      <c r="M383">
        <v>1780943</v>
      </c>
      <c r="N383">
        <f t="shared" si="30"/>
        <v>1391841</v>
      </c>
      <c r="O383">
        <f t="shared" si="31"/>
        <v>389102</v>
      </c>
      <c r="P383">
        <f t="shared" si="32"/>
        <v>0.21848088344208658</v>
      </c>
      <c r="Q383">
        <v>4</v>
      </c>
      <c r="R383">
        <v>46600</v>
      </c>
      <c r="S383">
        <f t="shared" si="33"/>
        <v>3.8461538461538464E-2</v>
      </c>
      <c r="T383">
        <v>37</v>
      </c>
      <c r="U383">
        <v>3.89</v>
      </c>
      <c r="V383">
        <v>369015</v>
      </c>
      <c r="W383">
        <v>4639662</v>
      </c>
      <c r="X383">
        <f t="shared" si="34"/>
        <v>12.573098654526239</v>
      </c>
      <c r="Y383" t="str">
        <f t="shared" si="35"/>
        <v>Weak Product</v>
      </c>
    </row>
    <row r="384" spans="1:25" x14ac:dyDescent="0.3">
      <c r="A384" t="s">
        <v>801</v>
      </c>
      <c r="B384" t="s">
        <v>802</v>
      </c>
      <c r="C384" t="s">
        <v>658</v>
      </c>
      <c r="D384" s="1">
        <v>45642</v>
      </c>
      <c r="E384">
        <v>105</v>
      </c>
      <c r="F384" t="s">
        <v>28</v>
      </c>
      <c r="G384">
        <v>3622</v>
      </c>
      <c r="H384">
        <v>1908</v>
      </c>
      <c r="I384">
        <v>78</v>
      </c>
      <c r="J384">
        <v>116</v>
      </c>
      <c r="K384">
        <v>420152</v>
      </c>
      <c r="L384">
        <v>51828</v>
      </c>
      <c r="M384">
        <v>368324</v>
      </c>
      <c r="N384">
        <f t="shared" si="30"/>
        <v>221328</v>
      </c>
      <c r="O384">
        <f t="shared" si="31"/>
        <v>146996</v>
      </c>
      <c r="P384">
        <f t="shared" si="32"/>
        <v>0.39909427569205375</v>
      </c>
      <c r="Q384">
        <v>3</v>
      </c>
      <c r="R384">
        <v>9777</v>
      </c>
      <c r="S384">
        <f t="shared" si="33"/>
        <v>3.8461538461538464E-2</v>
      </c>
      <c r="T384">
        <v>34</v>
      </c>
      <c r="U384">
        <v>4.3499999999999996</v>
      </c>
      <c r="V384">
        <v>323918</v>
      </c>
      <c r="W384">
        <v>1590611</v>
      </c>
      <c r="X384">
        <f t="shared" si="34"/>
        <v>4.9105359998518141</v>
      </c>
      <c r="Y384" t="str">
        <f t="shared" si="35"/>
        <v>Star</v>
      </c>
    </row>
    <row r="385" spans="1:25" x14ac:dyDescent="0.3">
      <c r="A385" t="s">
        <v>803</v>
      </c>
      <c r="B385" t="s">
        <v>804</v>
      </c>
      <c r="C385" t="s">
        <v>658</v>
      </c>
      <c r="D385" s="1">
        <v>45102</v>
      </c>
      <c r="E385">
        <v>645</v>
      </c>
      <c r="F385" t="s">
        <v>28</v>
      </c>
      <c r="G385">
        <v>9962</v>
      </c>
      <c r="H385">
        <v>8875</v>
      </c>
      <c r="I385">
        <v>58</v>
      </c>
      <c r="J385">
        <v>89</v>
      </c>
      <c r="K385">
        <v>886618</v>
      </c>
      <c r="L385">
        <v>100776</v>
      </c>
      <c r="M385">
        <v>785842</v>
      </c>
      <c r="N385">
        <f t="shared" si="30"/>
        <v>789875</v>
      </c>
      <c r="O385">
        <f t="shared" si="31"/>
        <v>-4033</v>
      </c>
      <c r="P385">
        <f t="shared" si="32"/>
        <v>-5.1320748954624467E-3</v>
      </c>
      <c r="Q385">
        <v>5</v>
      </c>
      <c r="R385">
        <v>44825</v>
      </c>
      <c r="S385">
        <f t="shared" si="33"/>
        <v>8.6206896551724144E-2</v>
      </c>
      <c r="T385">
        <v>24</v>
      </c>
      <c r="U385">
        <v>2.88</v>
      </c>
      <c r="V385">
        <v>259252</v>
      </c>
      <c r="W385">
        <v>2360627</v>
      </c>
      <c r="X385">
        <f t="shared" si="34"/>
        <v>9.1055305262833066</v>
      </c>
      <c r="Y385" t="str">
        <f t="shared" si="35"/>
        <v>Weak Product</v>
      </c>
    </row>
    <row r="386" spans="1:25" x14ac:dyDescent="0.3">
      <c r="A386" t="s">
        <v>805</v>
      </c>
      <c r="B386" t="s">
        <v>806</v>
      </c>
      <c r="C386" t="s">
        <v>658</v>
      </c>
      <c r="D386" s="1">
        <v>44930</v>
      </c>
      <c r="E386">
        <v>817</v>
      </c>
      <c r="F386" t="s">
        <v>28</v>
      </c>
      <c r="G386">
        <v>18224</v>
      </c>
      <c r="H386">
        <v>8677</v>
      </c>
      <c r="I386">
        <v>63</v>
      </c>
      <c r="J386">
        <v>95</v>
      </c>
      <c r="K386">
        <v>1731280</v>
      </c>
      <c r="L386">
        <v>282394</v>
      </c>
      <c r="M386">
        <v>1448886</v>
      </c>
      <c r="N386">
        <f t="shared" si="30"/>
        <v>824315</v>
      </c>
      <c r="O386">
        <f t="shared" si="31"/>
        <v>624571</v>
      </c>
      <c r="P386">
        <f t="shared" si="32"/>
        <v>0.43106980121279381</v>
      </c>
      <c r="Q386">
        <v>14</v>
      </c>
      <c r="R386">
        <v>229614</v>
      </c>
      <c r="S386">
        <f t="shared" si="33"/>
        <v>0.22222222222222221</v>
      </c>
      <c r="T386">
        <v>26</v>
      </c>
      <c r="U386">
        <v>4.5999999999999996</v>
      </c>
      <c r="V386">
        <v>486175</v>
      </c>
      <c r="W386">
        <v>8231594</v>
      </c>
      <c r="X386">
        <f t="shared" si="34"/>
        <v>16.93133953823212</v>
      </c>
      <c r="Y386" t="str">
        <f t="shared" si="35"/>
        <v>Weak Product</v>
      </c>
    </row>
    <row r="387" spans="1:25" x14ac:dyDescent="0.3">
      <c r="A387" t="s">
        <v>807</v>
      </c>
      <c r="B387" t="s">
        <v>808</v>
      </c>
      <c r="C387" t="s">
        <v>658</v>
      </c>
      <c r="D387" s="1">
        <v>44938</v>
      </c>
      <c r="E387">
        <v>809</v>
      </c>
      <c r="F387" t="s">
        <v>28</v>
      </c>
      <c r="G387">
        <v>14526</v>
      </c>
      <c r="H387">
        <v>12046</v>
      </c>
      <c r="I387">
        <v>57</v>
      </c>
      <c r="J387">
        <v>93</v>
      </c>
      <c r="K387">
        <v>1350918</v>
      </c>
      <c r="L387">
        <v>218803</v>
      </c>
      <c r="M387">
        <v>1132115</v>
      </c>
      <c r="N387">
        <f t="shared" ref="N387:N450" si="36">J387*H387</f>
        <v>1120278</v>
      </c>
      <c r="O387">
        <f t="shared" ref="O387:O450" si="37">M387-N387</f>
        <v>11837</v>
      </c>
      <c r="P387">
        <f t="shared" ref="P387:P450" si="38">IF(M387&gt;0, (M387-N387)/M387, 0)</f>
        <v>1.0455651590165311E-2</v>
      </c>
      <c r="Q387">
        <v>2</v>
      </c>
      <c r="R387">
        <v>26146</v>
      </c>
      <c r="S387">
        <f t="shared" ref="S387:S450" si="39">IF(I387&gt;0, Q387/I387, 0)</f>
        <v>3.5087719298245612E-2</v>
      </c>
      <c r="T387">
        <v>25</v>
      </c>
      <c r="U387">
        <v>3.24</v>
      </c>
      <c r="V387">
        <v>568144</v>
      </c>
      <c r="W387">
        <v>12913486</v>
      </c>
      <c r="X387">
        <f t="shared" ref="X387:X450" si="40">IF(V387&gt;0, W387/V387, 0)</f>
        <v>22.729248218761441</v>
      </c>
      <c r="Y387" t="str">
        <f t="shared" ref="Y387:Y450" si="41">IF(E387&lt;=90, "Immature Product", IF(AND(O387&gt;0, U387&gt;=4, S387&lt;0.05), "Star", IF(AND(M387&gt;10000000, O387&lt;0), "Revenue Trap", IF(AND(O387&gt;0, U387&gt;=4, V387&lt;100000), "Hidden Opportunity", "Weak Product"))))</f>
        <v>Weak Product</v>
      </c>
    </row>
    <row r="388" spans="1:25" x14ac:dyDescent="0.3">
      <c r="A388" t="s">
        <v>809</v>
      </c>
      <c r="B388" t="s">
        <v>810</v>
      </c>
      <c r="C388" t="s">
        <v>658</v>
      </c>
      <c r="D388" s="1">
        <v>45139</v>
      </c>
      <c r="E388">
        <v>608</v>
      </c>
      <c r="F388" t="s">
        <v>28</v>
      </c>
      <c r="G388">
        <v>8991</v>
      </c>
      <c r="H388">
        <v>5419</v>
      </c>
      <c r="I388">
        <v>82</v>
      </c>
      <c r="J388">
        <v>126</v>
      </c>
      <c r="K388">
        <v>1132866</v>
      </c>
      <c r="L388">
        <v>182045</v>
      </c>
      <c r="M388">
        <v>950821</v>
      </c>
      <c r="N388">
        <f t="shared" si="36"/>
        <v>682794</v>
      </c>
      <c r="O388">
        <f t="shared" si="37"/>
        <v>268027</v>
      </c>
      <c r="P388">
        <f t="shared" si="38"/>
        <v>0.28189007184317555</v>
      </c>
      <c r="Q388">
        <v>3</v>
      </c>
      <c r="R388">
        <v>24273</v>
      </c>
      <c r="S388">
        <f t="shared" si="39"/>
        <v>3.6585365853658534E-2</v>
      </c>
      <c r="T388">
        <v>31</v>
      </c>
      <c r="U388">
        <v>4.0999999999999996</v>
      </c>
      <c r="V388">
        <v>330986</v>
      </c>
      <c r="W388">
        <v>4311347</v>
      </c>
      <c r="X388">
        <f t="shared" si="40"/>
        <v>13.025768461505924</v>
      </c>
      <c r="Y388" t="str">
        <f t="shared" si="41"/>
        <v>Star</v>
      </c>
    </row>
    <row r="389" spans="1:25" x14ac:dyDescent="0.3">
      <c r="A389" t="s">
        <v>811</v>
      </c>
      <c r="B389" t="s">
        <v>812</v>
      </c>
      <c r="C389" t="s">
        <v>658</v>
      </c>
      <c r="D389" s="1">
        <v>45136</v>
      </c>
      <c r="E389">
        <v>611</v>
      </c>
      <c r="F389" t="s">
        <v>28</v>
      </c>
      <c r="G389">
        <v>424</v>
      </c>
      <c r="H389">
        <v>300</v>
      </c>
      <c r="I389">
        <v>350</v>
      </c>
      <c r="J389">
        <v>514</v>
      </c>
      <c r="K389">
        <v>217936</v>
      </c>
      <c r="L389">
        <v>21742</v>
      </c>
      <c r="M389">
        <v>196194</v>
      </c>
      <c r="N389">
        <f t="shared" si="36"/>
        <v>154200</v>
      </c>
      <c r="O389">
        <f t="shared" si="37"/>
        <v>41994</v>
      </c>
      <c r="P389">
        <f t="shared" si="38"/>
        <v>0.2140432429126273</v>
      </c>
      <c r="Q389">
        <v>33</v>
      </c>
      <c r="R389">
        <v>12573</v>
      </c>
      <c r="S389">
        <f t="shared" si="39"/>
        <v>9.4285714285714292E-2</v>
      </c>
      <c r="T389">
        <v>141</v>
      </c>
      <c r="U389">
        <v>3.63</v>
      </c>
      <c r="V389">
        <v>338878</v>
      </c>
      <c r="W389">
        <v>214655</v>
      </c>
      <c r="X389">
        <f t="shared" si="40"/>
        <v>0.63342854950749239</v>
      </c>
      <c r="Y389" t="str">
        <f t="shared" si="41"/>
        <v>Weak Product</v>
      </c>
    </row>
    <row r="390" spans="1:25" x14ac:dyDescent="0.3">
      <c r="A390" t="s">
        <v>813</v>
      </c>
      <c r="B390" t="s">
        <v>814</v>
      </c>
      <c r="C390" t="s">
        <v>658</v>
      </c>
      <c r="D390" s="1">
        <v>45319</v>
      </c>
      <c r="E390">
        <v>428</v>
      </c>
      <c r="F390" t="s">
        <v>28</v>
      </c>
      <c r="G390">
        <v>9861</v>
      </c>
      <c r="H390">
        <v>4539</v>
      </c>
      <c r="I390">
        <v>71</v>
      </c>
      <c r="J390">
        <v>110</v>
      </c>
      <c r="K390">
        <v>1084710</v>
      </c>
      <c r="L390">
        <v>191137</v>
      </c>
      <c r="M390">
        <v>893573</v>
      </c>
      <c r="N390">
        <f t="shared" si="36"/>
        <v>499290</v>
      </c>
      <c r="O390">
        <f t="shared" si="37"/>
        <v>394283</v>
      </c>
      <c r="P390">
        <f t="shared" si="38"/>
        <v>0.44124318886089886</v>
      </c>
      <c r="Q390">
        <v>6</v>
      </c>
      <c r="R390">
        <v>53244</v>
      </c>
      <c r="S390">
        <f t="shared" si="39"/>
        <v>8.4507042253521125E-2</v>
      </c>
      <c r="T390">
        <v>34</v>
      </c>
      <c r="U390">
        <v>4.5599999999999996</v>
      </c>
      <c r="V390">
        <v>310605</v>
      </c>
      <c r="W390">
        <v>4131841</v>
      </c>
      <c r="X390">
        <f t="shared" si="40"/>
        <v>13.302557911173356</v>
      </c>
      <c r="Y390" t="str">
        <f t="shared" si="41"/>
        <v>Weak Product</v>
      </c>
    </row>
    <row r="391" spans="1:25" x14ac:dyDescent="0.3">
      <c r="A391" t="s">
        <v>815</v>
      </c>
      <c r="B391" t="s">
        <v>816</v>
      </c>
      <c r="C391" t="s">
        <v>658</v>
      </c>
      <c r="D391" s="1">
        <v>45231</v>
      </c>
      <c r="E391">
        <v>516</v>
      </c>
      <c r="F391" t="s">
        <v>28</v>
      </c>
      <c r="G391">
        <v>3285</v>
      </c>
      <c r="H391">
        <v>2007</v>
      </c>
      <c r="I391">
        <v>91</v>
      </c>
      <c r="J391">
        <v>144</v>
      </c>
      <c r="K391">
        <v>473040</v>
      </c>
      <c r="L391">
        <v>63277</v>
      </c>
      <c r="M391">
        <v>409763</v>
      </c>
      <c r="N391">
        <f t="shared" si="36"/>
        <v>289008</v>
      </c>
      <c r="O391">
        <f t="shared" si="37"/>
        <v>120755</v>
      </c>
      <c r="P391">
        <f t="shared" si="38"/>
        <v>0.29469473817792236</v>
      </c>
      <c r="Q391">
        <v>12</v>
      </c>
      <c r="R391">
        <v>35472</v>
      </c>
      <c r="S391">
        <f t="shared" si="39"/>
        <v>0.13186813186813187</v>
      </c>
      <c r="T391">
        <v>36</v>
      </c>
      <c r="U391">
        <v>4.07</v>
      </c>
      <c r="V391">
        <v>417073</v>
      </c>
      <c r="W391">
        <v>1441284</v>
      </c>
      <c r="X391">
        <f t="shared" si="40"/>
        <v>3.4557115900573758</v>
      </c>
      <c r="Y391" t="str">
        <f t="shared" si="41"/>
        <v>Weak Product</v>
      </c>
    </row>
    <row r="392" spans="1:25" x14ac:dyDescent="0.3">
      <c r="A392" t="s">
        <v>817</v>
      </c>
      <c r="B392" t="s">
        <v>818</v>
      </c>
      <c r="C392" t="s">
        <v>819</v>
      </c>
      <c r="D392" s="1">
        <v>45110</v>
      </c>
      <c r="E392">
        <v>637</v>
      </c>
      <c r="F392" t="s">
        <v>28</v>
      </c>
      <c r="G392">
        <v>15538</v>
      </c>
      <c r="H392">
        <v>12142</v>
      </c>
      <c r="I392">
        <v>66</v>
      </c>
      <c r="J392">
        <v>91</v>
      </c>
      <c r="K392">
        <v>1413958</v>
      </c>
      <c r="L392">
        <v>231461</v>
      </c>
      <c r="M392">
        <v>1182497</v>
      </c>
      <c r="N392">
        <f t="shared" si="36"/>
        <v>1104922</v>
      </c>
      <c r="O392">
        <f t="shared" si="37"/>
        <v>77575</v>
      </c>
      <c r="P392">
        <f t="shared" si="38"/>
        <v>6.5602703431805742E-2</v>
      </c>
      <c r="Q392">
        <v>6</v>
      </c>
      <c r="R392">
        <v>83904</v>
      </c>
      <c r="S392">
        <f t="shared" si="39"/>
        <v>9.0909090909090912E-2</v>
      </c>
      <c r="T392">
        <v>29</v>
      </c>
      <c r="U392">
        <v>3.52</v>
      </c>
      <c r="V392">
        <v>247942</v>
      </c>
      <c r="W392">
        <v>5593281</v>
      </c>
      <c r="X392">
        <f t="shared" si="40"/>
        <v>22.558828274354486</v>
      </c>
      <c r="Y392" t="str">
        <f t="shared" si="41"/>
        <v>Weak Product</v>
      </c>
    </row>
    <row r="393" spans="1:25" x14ac:dyDescent="0.3">
      <c r="A393" t="s">
        <v>820</v>
      </c>
      <c r="B393" t="s">
        <v>821</v>
      </c>
      <c r="C393" t="s">
        <v>819</v>
      </c>
      <c r="D393" s="1">
        <v>45609</v>
      </c>
      <c r="E393">
        <v>138</v>
      </c>
      <c r="F393" t="s">
        <v>28</v>
      </c>
      <c r="G393">
        <v>18041</v>
      </c>
      <c r="H393">
        <v>12875</v>
      </c>
      <c r="I393">
        <v>83</v>
      </c>
      <c r="J393">
        <v>129</v>
      </c>
      <c r="K393">
        <v>2327289</v>
      </c>
      <c r="L393">
        <v>377008</v>
      </c>
      <c r="M393">
        <v>1950281</v>
      </c>
      <c r="N393">
        <f t="shared" si="36"/>
        <v>1660875</v>
      </c>
      <c r="O393">
        <f t="shared" si="37"/>
        <v>289406</v>
      </c>
      <c r="P393">
        <f t="shared" si="38"/>
        <v>0.14839194967289329</v>
      </c>
      <c r="Q393">
        <v>7</v>
      </c>
      <c r="R393">
        <v>113652</v>
      </c>
      <c r="S393">
        <f t="shared" si="39"/>
        <v>8.4337349397590355E-2</v>
      </c>
      <c r="T393">
        <v>35</v>
      </c>
      <c r="U393">
        <v>3.86</v>
      </c>
      <c r="V393">
        <v>633298</v>
      </c>
      <c r="W393">
        <v>13086630</v>
      </c>
      <c r="X393">
        <f t="shared" si="40"/>
        <v>20.664252847790454</v>
      </c>
      <c r="Y393" t="str">
        <f t="shared" si="41"/>
        <v>Weak Product</v>
      </c>
    </row>
    <row r="394" spans="1:25" x14ac:dyDescent="0.3">
      <c r="A394" t="s">
        <v>822</v>
      </c>
      <c r="B394" t="s">
        <v>823</v>
      </c>
      <c r="C394" t="s">
        <v>819</v>
      </c>
      <c r="D394" s="1">
        <v>45076</v>
      </c>
      <c r="E394">
        <v>671</v>
      </c>
      <c r="F394" t="s">
        <v>28</v>
      </c>
      <c r="G394">
        <v>15858</v>
      </c>
      <c r="H394">
        <v>10185</v>
      </c>
      <c r="I394">
        <v>40</v>
      </c>
      <c r="J394">
        <v>61</v>
      </c>
      <c r="K394">
        <v>967338</v>
      </c>
      <c r="L394">
        <v>131153</v>
      </c>
      <c r="M394">
        <v>836185</v>
      </c>
      <c r="N394">
        <f t="shared" si="36"/>
        <v>621285</v>
      </c>
      <c r="O394">
        <f t="shared" si="37"/>
        <v>214900</v>
      </c>
      <c r="P394">
        <f t="shared" si="38"/>
        <v>0.25700054413795992</v>
      </c>
      <c r="Q394">
        <v>3</v>
      </c>
      <c r="R394">
        <v>42816</v>
      </c>
      <c r="S394">
        <f t="shared" si="39"/>
        <v>7.4999999999999997E-2</v>
      </c>
      <c r="T394">
        <v>17</v>
      </c>
      <c r="U394">
        <v>3.97</v>
      </c>
      <c r="V394">
        <v>490943</v>
      </c>
      <c r="W394">
        <v>10465665</v>
      </c>
      <c r="X394">
        <f t="shared" si="40"/>
        <v>21.317474737393141</v>
      </c>
      <c r="Y394" t="str">
        <f t="shared" si="41"/>
        <v>Weak Product</v>
      </c>
    </row>
    <row r="395" spans="1:25" x14ac:dyDescent="0.3">
      <c r="A395" t="s">
        <v>824</v>
      </c>
      <c r="B395" t="s">
        <v>825</v>
      </c>
      <c r="C395" t="s">
        <v>819</v>
      </c>
      <c r="D395" s="1">
        <v>45528</v>
      </c>
      <c r="E395">
        <v>219</v>
      </c>
      <c r="F395" t="s">
        <v>28</v>
      </c>
      <c r="G395">
        <v>17234</v>
      </c>
      <c r="H395">
        <v>9302</v>
      </c>
      <c r="I395">
        <v>56</v>
      </c>
      <c r="J395">
        <v>79</v>
      </c>
      <c r="K395">
        <v>1361486</v>
      </c>
      <c r="L395">
        <v>210348</v>
      </c>
      <c r="M395">
        <v>1151138</v>
      </c>
      <c r="N395">
        <f t="shared" si="36"/>
        <v>734858</v>
      </c>
      <c r="O395">
        <f t="shared" si="37"/>
        <v>416280</v>
      </c>
      <c r="P395">
        <f t="shared" si="38"/>
        <v>0.36162475741396777</v>
      </c>
      <c r="Q395">
        <v>2</v>
      </c>
      <c r="R395">
        <v>31020</v>
      </c>
      <c r="S395">
        <f t="shared" si="39"/>
        <v>3.5714285714285712E-2</v>
      </c>
      <c r="T395">
        <v>24</v>
      </c>
      <c r="U395">
        <v>4.17</v>
      </c>
      <c r="V395">
        <v>195598</v>
      </c>
      <c r="W395">
        <v>4405730</v>
      </c>
      <c r="X395">
        <f t="shared" si="40"/>
        <v>22.524412315054345</v>
      </c>
      <c r="Y395" t="str">
        <f t="shared" si="41"/>
        <v>Star</v>
      </c>
    </row>
    <row r="396" spans="1:25" x14ac:dyDescent="0.3">
      <c r="A396" t="s">
        <v>826</v>
      </c>
      <c r="B396" t="s">
        <v>827</v>
      </c>
      <c r="C396" t="s">
        <v>819</v>
      </c>
      <c r="D396" s="1">
        <v>44964</v>
      </c>
      <c r="E396">
        <v>783</v>
      </c>
      <c r="F396" t="s">
        <v>28</v>
      </c>
      <c r="G396">
        <v>7242</v>
      </c>
      <c r="H396">
        <v>3883</v>
      </c>
      <c r="I396">
        <v>119</v>
      </c>
      <c r="J396">
        <v>187</v>
      </c>
      <c r="K396">
        <v>1354254</v>
      </c>
      <c r="L396">
        <v>226673</v>
      </c>
      <c r="M396">
        <v>1127581</v>
      </c>
      <c r="N396">
        <f t="shared" si="36"/>
        <v>726121</v>
      </c>
      <c r="O396">
        <f t="shared" si="37"/>
        <v>401460</v>
      </c>
      <c r="P396">
        <f t="shared" si="38"/>
        <v>0.35603650646827145</v>
      </c>
      <c r="Q396">
        <v>5</v>
      </c>
      <c r="R396">
        <v>32585</v>
      </c>
      <c r="S396">
        <f t="shared" si="39"/>
        <v>4.2016806722689079E-2</v>
      </c>
      <c r="T396">
        <v>56</v>
      </c>
      <c r="U396">
        <v>4.25</v>
      </c>
      <c r="V396">
        <v>165499</v>
      </c>
      <c r="W396">
        <v>378167</v>
      </c>
      <c r="X396">
        <f t="shared" si="40"/>
        <v>2.2850107855636588</v>
      </c>
      <c r="Y396" t="str">
        <f t="shared" si="41"/>
        <v>Star</v>
      </c>
    </row>
    <row r="397" spans="1:25" x14ac:dyDescent="0.3">
      <c r="A397" t="s">
        <v>828</v>
      </c>
      <c r="B397" t="s">
        <v>829</v>
      </c>
      <c r="C397" t="s">
        <v>819</v>
      </c>
      <c r="D397" s="1">
        <v>45579</v>
      </c>
      <c r="E397">
        <v>168</v>
      </c>
      <c r="F397" t="s">
        <v>28</v>
      </c>
      <c r="G397">
        <v>19797</v>
      </c>
      <c r="H397">
        <v>15519</v>
      </c>
      <c r="I397">
        <v>66</v>
      </c>
      <c r="J397">
        <v>100</v>
      </c>
      <c r="K397">
        <v>1979700</v>
      </c>
      <c r="L397">
        <v>367009</v>
      </c>
      <c r="M397">
        <v>1612691</v>
      </c>
      <c r="N397">
        <f t="shared" si="36"/>
        <v>1551900</v>
      </c>
      <c r="O397">
        <f t="shared" si="37"/>
        <v>60791</v>
      </c>
      <c r="P397">
        <f t="shared" si="38"/>
        <v>3.7695379958094889E-2</v>
      </c>
      <c r="Q397">
        <v>1</v>
      </c>
      <c r="R397">
        <v>17817</v>
      </c>
      <c r="S397">
        <f t="shared" si="39"/>
        <v>1.5151515151515152E-2</v>
      </c>
      <c r="T397">
        <v>27</v>
      </c>
      <c r="U397">
        <v>3.28</v>
      </c>
      <c r="V397">
        <v>435789</v>
      </c>
      <c r="W397">
        <v>12117421</v>
      </c>
      <c r="X397">
        <f t="shared" si="40"/>
        <v>27.805706431323415</v>
      </c>
      <c r="Y397" t="str">
        <f t="shared" si="41"/>
        <v>Weak Product</v>
      </c>
    </row>
    <row r="398" spans="1:25" x14ac:dyDescent="0.3">
      <c r="A398" t="s">
        <v>830</v>
      </c>
      <c r="B398" t="s">
        <v>831</v>
      </c>
      <c r="C398" t="s">
        <v>819</v>
      </c>
      <c r="D398" s="1">
        <v>44847</v>
      </c>
      <c r="E398">
        <v>900</v>
      </c>
      <c r="F398" t="s">
        <v>28</v>
      </c>
      <c r="G398">
        <v>17328</v>
      </c>
      <c r="H398">
        <v>12022</v>
      </c>
      <c r="I398">
        <v>69</v>
      </c>
      <c r="J398">
        <v>100</v>
      </c>
      <c r="K398">
        <v>1732800</v>
      </c>
      <c r="L398">
        <v>200553</v>
      </c>
      <c r="M398">
        <v>1532247</v>
      </c>
      <c r="N398">
        <f t="shared" si="36"/>
        <v>1202200</v>
      </c>
      <c r="O398">
        <f t="shared" si="37"/>
        <v>330047</v>
      </c>
      <c r="P398">
        <f t="shared" si="38"/>
        <v>0.21540065015627377</v>
      </c>
      <c r="Q398">
        <v>1</v>
      </c>
      <c r="R398">
        <v>15595</v>
      </c>
      <c r="S398">
        <f t="shared" si="39"/>
        <v>1.4492753623188406E-2</v>
      </c>
      <c r="T398">
        <v>30</v>
      </c>
      <c r="U398">
        <v>3.47</v>
      </c>
      <c r="V398">
        <v>519050</v>
      </c>
      <c r="W398">
        <v>9660103</v>
      </c>
      <c r="X398">
        <f t="shared" si="40"/>
        <v>18.611122242558519</v>
      </c>
      <c r="Y398" t="str">
        <f t="shared" si="41"/>
        <v>Weak Product</v>
      </c>
    </row>
    <row r="399" spans="1:25" x14ac:dyDescent="0.3">
      <c r="A399" t="s">
        <v>832</v>
      </c>
      <c r="B399" t="s">
        <v>833</v>
      </c>
      <c r="C399" t="s">
        <v>819</v>
      </c>
      <c r="D399" s="1">
        <v>45431</v>
      </c>
      <c r="E399">
        <v>316</v>
      </c>
      <c r="F399" t="s">
        <v>28</v>
      </c>
      <c r="G399">
        <v>5155</v>
      </c>
      <c r="H399">
        <v>3325</v>
      </c>
      <c r="I399">
        <v>83</v>
      </c>
      <c r="J399">
        <v>128</v>
      </c>
      <c r="K399">
        <v>659840</v>
      </c>
      <c r="L399">
        <v>114669</v>
      </c>
      <c r="M399">
        <v>545171</v>
      </c>
      <c r="N399">
        <f t="shared" si="36"/>
        <v>425600</v>
      </c>
      <c r="O399">
        <f t="shared" si="37"/>
        <v>119571</v>
      </c>
      <c r="P399">
        <f t="shared" si="38"/>
        <v>0.21932751375256571</v>
      </c>
      <c r="Q399">
        <v>9</v>
      </c>
      <c r="R399">
        <v>41751</v>
      </c>
      <c r="S399">
        <f t="shared" si="39"/>
        <v>0.10843373493975904</v>
      </c>
      <c r="T399">
        <v>36</v>
      </c>
      <c r="U399">
        <v>3.67</v>
      </c>
      <c r="V399">
        <v>112754</v>
      </c>
      <c r="W399">
        <v>1034737</v>
      </c>
      <c r="X399">
        <f t="shared" si="40"/>
        <v>9.1769427248700719</v>
      </c>
      <c r="Y399" t="str">
        <f t="shared" si="41"/>
        <v>Weak Product</v>
      </c>
    </row>
    <row r="400" spans="1:25" x14ac:dyDescent="0.3">
      <c r="A400" t="s">
        <v>834</v>
      </c>
      <c r="B400" t="s">
        <v>835</v>
      </c>
      <c r="C400" t="s">
        <v>819</v>
      </c>
      <c r="D400" s="1">
        <v>45255</v>
      </c>
      <c r="E400">
        <v>492</v>
      </c>
      <c r="F400" t="s">
        <v>28</v>
      </c>
      <c r="G400">
        <v>17850</v>
      </c>
      <c r="H400">
        <v>8995</v>
      </c>
      <c r="I400">
        <v>32</v>
      </c>
      <c r="J400">
        <v>47</v>
      </c>
      <c r="K400">
        <v>838950</v>
      </c>
      <c r="L400">
        <v>145188</v>
      </c>
      <c r="M400">
        <v>693762</v>
      </c>
      <c r="N400">
        <f t="shared" si="36"/>
        <v>422765</v>
      </c>
      <c r="O400">
        <f t="shared" si="37"/>
        <v>270997</v>
      </c>
      <c r="P400">
        <f t="shared" si="38"/>
        <v>0.390619549643826</v>
      </c>
      <c r="Q400">
        <v>6</v>
      </c>
      <c r="R400">
        <v>96390</v>
      </c>
      <c r="S400">
        <f t="shared" si="39"/>
        <v>0.1875</v>
      </c>
      <c r="T400">
        <v>9</v>
      </c>
      <c r="U400">
        <v>4.6100000000000003</v>
      </c>
      <c r="V400">
        <v>442675</v>
      </c>
      <c r="W400">
        <v>10352322</v>
      </c>
      <c r="X400">
        <f t="shared" si="40"/>
        <v>23.385829333032135</v>
      </c>
      <c r="Y400" t="str">
        <f t="shared" si="41"/>
        <v>Weak Product</v>
      </c>
    </row>
    <row r="401" spans="1:25" x14ac:dyDescent="0.3">
      <c r="A401" t="s">
        <v>836</v>
      </c>
      <c r="B401" t="s">
        <v>837</v>
      </c>
      <c r="C401" t="s">
        <v>819</v>
      </c>
      <c r="D401" s="1">
        <v>45458</v>
      </c>
      <c r="E401">
        <v>289</v>
      </c>
      <c r="F401" t="s">
        <v>28</v>
      </c>
      <c r="G401">
        <v>13503</v>
      </c>
      <c r="H401">
        <v>11278</v>
      </c>
      <c r="I401">
        <v>50</v>
      </c>
      <c r="J401">
        <v>78</v>
      </c>
      <c r="K401">
        <v>1053234</v>
      </c>
      <c r="L401">
        <v>118610</v>
      </c>
      <c r="M401">
        <v>934624</v>
      </c>
      <c r="N401">
        <f t="shared" si="36"/>
        <v>879684</v>
      </c>
      <c r="O401">
        <f t="shared" si="37"/>
        <v>54940</v>
      </c>
      <c r="P401">
        <f t="shared" si="38"/>
        <v>5.8782997226692231E-2</v>
      </c>
      <c r="Q401">
        <v>0</v>
      </c>
      <c r="R401">
        <v>0</v>
      </c>
      <c r="S401">
        <f t="shared" si="39"/>
        <v>0</v>
      </c>
      <c r="T401">
        <v>20</v>
      </c>
      <c r="U401">
        <v>2.95</v>
      </c>
      <c r="V401">
        <v>517795</v>
      </c>
      <c r="W401">
        <v>10235111</v>
      </c>
      <c r="X401">
        <f t="shared" si="40"/>
        <v>19.766724282776003</v>
      </c>
      <c r="Y401" t="str">
        <f t="shared" si="41"/>
        <v>Weak Product</v>
      </c>
    </row>
    <row r="402" spans="1:25" x14ac:dyDescent="0.3">
      <c r="A402" t="s">
        <v>838</v>
      </c>
      <c r="B402" t="s">
        <v>839</v>
      </c>
      <c r="C402" t="s">
        <v>819</v>
      </c>
      <c r="D402" s="1">
        <v>45216</v>
      </c>
      <c r="E402">
        <v>531</v>
      </c>
      <c r="F402" t="s">
        <v>28</v>
      </c>
      <c r="G402">
        <v>15870</v>
      </c>
      <c r="H402">
        <v>7706</v>
      </c>
      <c r="I402">
        <v>74</v>
      </c>
      <c r="J402">
        <v>107</v>
      </c>
      <c r="K402">
        <v>1698090</v>
      </c>
      <c r="L402">
        <v>328780</v>
      </c>
      <c r="M402">
        <v>1369310</v>
      </c>
      <c r="N402">
        <f t="shared" si="36"/>
        <v>824542</v>
      </c>
      <c r="O402">
        <f t="shared" si="37"/>
        <v>544768</v>
      </c>
      <c r="P402">
        <f t="shared" si="38"/>
        <v>0.39784124851202429</v>
      </c>
      <c r="Q402">
        <v>3</v>
      </c>
      <c r="R402">
        <v>42849</v>
      </c>
      <c r="S402">
        <f t="shared" si="39"/>
        <v>4.0540540540540543E-2</v>
      </c>
      <c r="T402">
        <v>29</v>
      </c>
      <c r="U402">
        <v>4.62</v>
      </c>
      <c r="V402">
        <v>249621</v>
      </c>
      <c r="W402">
        <v>4493791</v>
      </c>
      <c r="X402">
        <f t="shared" si="40"/>
        <v>18.002455722875879</v>
      </c>
      <c r="Y402" t="str">
        <f t="shared" si="41"/>
        <v>Star</v>
      </c>
    </row>
    <row r="403" spans="1:25" x14ac:dyDescent="0.3">
      <c r="A403" t="s">
        <v>840</v>
      </c>
      <c r="B403" t="s">
        <v>841</v>
      </c>
      <c r="C403" t="s">
        <v>819</v>
      </c>
      <c r="D403" s="1">
        <v>45068</v>
      </c>
      <c r="E403">
        <v>679</v>
      </c>
      <c r="F403" t="s">
        <v>28</v>
      </c>
      <c r="G403">
        <v>3517</v>
      </c>
      <c r="H403">
        <v>1626</v>
      </c>
      <c r="I403">
        <v>135</v>
      </c>
      <c r="J403">
        <v>197</v>
      </c>
      <c r="K403">
        <v>692849</v>
      </c>
      <c r="L403">
        <v>122342</v>
      </c>
      <c r="M403">
        <v>570507</v>
      </c>
      <c r="N403">
        <f t="shared" si="36"/>
        <v>320322</v>
      </c>
      <c r="O403">
        <f t="shared" si="37"/>
        <v>250185</v>
      </c>
      <c r="P403">
        <f t="shared" si="38"/>
        <v>0.43853099085550223</v>
      </c>
      <c r="Q403">
        <v>3</v>
      </c>
      <c r="R403">
        <v>9495</v>
      </c>
      <c r="S403">
        <f t="shared" si="39"/>
        <v>2.2222222222222223E-2</v>
      </c>
      <c r="T403">
        <v>55</v>
      </c>
      <c r="U403">
        <v>4.49</v>
      </c>
      <c r="V403">
        <v>407082</v>
      </c>
      <c r="W403">
        <v>792681</v>
      </c>
      <c r="X403">
        <f t="shared" si="40"/>
        <v>1.9472268486447448</v>
      </c>
      <c r="Y403" t="str">
        <f t="shared" si="41"/>
        <v>Star</v>
      </c>
    </row>
    <row r="404" spans="1:25" x14ac:dyDescent="0.3">
      <c r="A404" t="s">
        <v>842</v>
      </c>
      <c r="B404" t="s">
        <v>843</v>
      </c>
      <c r="C404" t="s">
        <v>819</v>
      </c>
      <c r="D404" s="1">
        <v>45051</v>
      </c>
      <c r="E404">
        <v>696</v>
      </c>
      <c r="F404" t="s">
        <v>28</v>
      </c>
      <c r="G404">
        <v>3224</v>
      </c>
      <c r="H404">
        <v>2628</v>
      </c>
      <c r="I404">
        <v>137</v>
      </c>
      <c r="J404">
        <v>195</v>
      </c>
      <c r="K404">
        <v>628680</v>
      </c>
      <c r="L404">
        <v>66207</v>
      </c>
      <c r="M404">
        <v>562473</v>
      </c>
      <c r="N404">
        <f t="shared" si="36"/>
        <v>512460</v>
      </c>
      <c r="O404">
        <f t="shared" si="37"/>
        <v>50013</v>
      </c>
      <c r="P404">
        <f t="shared" si="38"/>
        <v>8.8916267980863078E-2</v>
      </c>
      <c r="Q404">
        <v>9</v>
      </c>
      <c r="R404">
        <v>26109</v>
      </c>
      <c r="S404">
        <f t="shared" si="39"/>
        <v>6.569343065693431E-2</v>
      </c>
      <c r="T404">
        <v>59</v>
      </c>
      <c r="U404">
        <v>3.25</v>
      </c>
      <c r="V404">
        <v>442115</v>
      </c>
      <c r="W404">
        <v>1676218</v>
      </c>
      <c r="X404">
        <f t="shared" si="40"/>
        <v>3.7913619759564821</v>
      </c>
      <c r="Y404" t="str">
        <f t="shared" si="41"/>
        <v>Weak Product</v>
      </c>
    </row>
    <row r="405" spans="1:25" x14ac:dyDescent="0.3">
      <c r="A405" t="s">
        <v>844</v>
      </c>
      <c r="B405" t="s">
        <v>845</v>
      </c>
      <c r="C405" t="s">
        <v>819</v>
      </c>
      <c r="D405" s="1">
        <v>44902</v>
      </c>
      <c r="E405">
        <v>845</v>
      </c>
      <c r="F405" t="s">
        <v>28</v>
      </c>
      <c r="G405">
        <v>17183</v>
      </c>
      <c r="H405">
        <v>9344</v>
      </c>
      <c r="I405">
        <v>40</v>
      </c>
      <c r="J405">
        <v>58</v>
      </c>
      <c r="K405">
        <v>996614</v>
      </c>
      <c r="L405">
        <v>172065</v>
      </c>
      <c r="M405">
        <v>824549</v>
      </c>
      <c r="N405">
        <f t="shared" si="36"/>
        <v>541952</v>
      </c>
      <c r="O405">
        <f t="shared" si="37"/>
        <v>282597</v>
      </c>
      <c r="P405">
        <f t="shared" si="38"/>
        <v>0.34272917679846804</v>
      </c>
      <c r="Q405">
        <v>3</v>
      </c>
      <c r="R405">
        <v>46392</v>
      </c>
      <c r="S405">
        <f t="shared" si="39"/>
        <v>7.4999999999999997E-2</v>
      </c>
      <c r="T405">
        <v>18</v>
      </c>
      <c r="U405">
        <v>4.28</v>
      </c>
      <c r="V405">
        <v>591019</v>
      </c>
      <c r="W405">
        <v>14724428</v>
      </c>
      <c r="X405">
        <f t="shared" si="40"/>
        <v>24.913628834267595</v>
      </c>
      <c r="Y405" t="str">
        <f t="shared" si="41"/>
        <v>Weak Product</v>
      </c>
    </row>
    <row r="406" spans="1:25" x14ac:dyDescent="0.3">
      <c r="A406" t="s">
        <v>846</v>
      </c>
      <c r="B406" t="s">
        <v>847</v>
      </c>
      <c r="C406" t="s">
        <v>819</v>
      </c>
      <c r="D406" s="1">
        <v>45040</v>
      </c>
      <c r="E406">
        <v>707</v>
      </c>
      <c r="F406" t="s">
        <v>28</v>
      </c>
      <c r="G406">
        <v>5992</v>
      </c>
      <c r="H406">
        <v>4873</v>
      </c>
      <c r="I406">
        <v>135</v>
      </c>
      <c r="J406">
        <v>201</v>
      </c>
      <c r="K406">
        <v>1204392</v>
      </c>
      <c r="L406">
        <v>141210</v>
      </c>
      <c r="M406">
        <v>1063182</v>
      </c>
      <c r="N406">
        <f t="shared" si="36"/>
        <v>979473</v>
      </c>
      <c r="O406">
        <f t="shared" si="37"/>
        <v>83709</v>
      </c>
      <c r="P406">
        <f t="shared" si="38"/>
        <v>7.8734402952645929E-2</v>
      </c>
      <c r="Q406">
        <v>16</v>
      </c>
      <c r="R406">
        <v>86272</v>
      </c>
      <c r="S406">
        <f t="shared" si="39"/>
        <v>0.11851851851851852</v>
      </c>
      <c r="T406">
        <v>51</v>
      </c>
      <c r="U406">
        <v>3.09</v>
      </c>
      <c r="V406">
        <v>485509</v>
      </c>
      <c r="W406">
        <v>4109189</v>
      </c>
      <c r="X406">
        <f t="shared" si="40"/>
        <v>8.4636721461394124</v>
      </c>
      <c r="Y406" t="str">
        <f t="shared" si="41"/>
        <v>Weak Product</v>
      </c>
    </row>
    <row r="407" spans="1:25" x14ac:dyDescent="0.3">
      <c r="A407" t="s">
        <v>848</v>
      </c>
      <c r="B407" t="s">
        <v>849</v>
      </c>
      <c r="C407" t="s">
        <v>819</v>
      </c>
      <c r="D407" s="1">
        <v>45352</v>
      </c>
      <c r="E407">
        <v>395</v>
      </c>
      <c r="F407" t="s">
        <v>28</v>
      </c>
      <c r="G407">
        <v>12369</v>
      </c>
      <c r="H407">
        <v>6548</v>
      </c>
      <c r="I407">
        <v>56</v>
      </c>
      <c r="J407">
        <v>84</v>
      </c>
      <c r="K407">
        <v>1038996</v>
      </c>
      <c r="L407">
        <v>180698</v>
      </c>
      <c r="M407">
        <v>858298</v>
      </c>
      <c r="N407">
        <f t="shared" si="36"/>
        <v>550032</v>
      </c>
      <c r="O407">
        <f t="shared" si="37"/>
        <v>308266</v>
      </c>
      <c r="P407">
        <f t="shared" si="38"/>
        <v>0.35915963919291433</v>
      </c>
      <c r="Q407">
        <v>3</v>
      </c>
      <c r="R407">
        <v>33396</v>
      </c>
      <c r="S407">
        <f t="shared" si="39"/>
        <v>5.3571428571428568E-2</v>
      </c>
      <c r="T407">
        <v>17</v>
      </c>
      <c r="U407">
        <v>4.32</v>
      </c>
      <c r="V407">
        <v>577028</v>
      </c>
      <c r="W407">
        <v>7014706</v>
      </c>
      <c r="X407">
        <f t="shared" si="40"/>
        <v>12.156612850676224</v>
      </c>
      <c r="Y407" t="str">
        <f t="shared" si="41"/>
        <v>Weak Product</v>
      </c>
    </row>
    <row r="408" spans="1:25" x14ac:dyDescent="0.3">
      <c r="A408" t="s">
        <v>850</v>
      </c>
      <c r="B408" t="s">
        <v>851</v>
      </c>
      <c r="C408" t="s">
        <v>819</v>
      </c>
      <c r="D408" s="1">
        <v>45320</v>
      </c>
      <c r="E408">
        <v>427</v>
      </c>
      <c r="F408" t="s">
        <v>28</v>
      </c>
      <c r="G408">
        <v>14916</v>
      </c>
      <c r="H408">
        <v>12232</v>
      </c>
      <c r="I408">
        <v>90</v>
      </c>
      <c r="J408">
        <v>135</v>
      </c>
      <c r="K408">
        <v>2013660</v>
      </c>
      <c r="L408">
        <v>344587</v>
      </c>
      <c r="M408">
        <v>1669073</v>
      </c>
      <c r="N408">
        <f t="shared" si="36"/>
        <v>1651320</v>
      </c>
      <c r="O408">
        <f t="shared" si="37"/>
        <v>17753</v>
      </c>
      <c r="P408">
        <f t="shared" si="38"/>
        <v>1.0636443103447243E-2</v>
      </c>
      <c r="Q408">
        <v>1</v>
      </c>
      <c r="R408">
        <v>13424</v>
      </c>
      <c r="S408">
        <f t="shared" si="39"/>
        <v>1.1111111111111112E-2</v>
      </c>
      <c r="T408">
        <v>36</v>
      </c>
      <c r="U408">
        <v>3.35</v>
      </c>
      <c r="V408">
        <v>335265</v>
      </c>
      <c r="W408">
        <v>7084361</v>
      </c>
      <c r="X408">
        <f t="shared" si="40"/>
        <v>21.130630993393286</v>
      </c>
      <c r="Y408" t="str">
        <f t="shared" si="41"/>
        <v>Weak Product</v>
      </c>
    </row>
    <row r="409" spans="1:25" x14ac:dyDescent="0.3">
      <c r="A409" t="s">
        <v>852</v>
      </c>
      <c r="B409" t="s">
        <v>853</v>
      </c>
      <c r="C409" t="s">
        <v>819</v>
      </c>
      <c r="D409" s="1">
        <v>44885</v>
      </c>
      <c r="E409">
        <v>862</v>
      </c>
      <c r="F409" t="s">
        <v>28</v>
      </c>
      <c r="G409">
        <v>9640</v>
      </c>
      <c r="H409">
        <v>8556</v>
      </c>
      <c r="I409">
        <v>99</v>
      </c>
      <c r="J409">
        <v>141</v>
      </c>
      <c r="K409">
        <v>1359240</v>
      </c>
      <c r="L409">
        <v>226406</v>
      </c>
      <c r="M409">
        <v>1132834</v>
      </c>
      <c r="N409">
        <f t="shared" si="36"/>
        <v>1206396</v>
      </c>
      <c r="O409">
        <f t="shared" si="37"/>
        <v>-73562</v>
      </c>
      <c r="P409">
        <f t="shared" si="38"/>
        <v>-6.4936257209794193E-2</v>
      </c>
      <c r="Q409">
        <v>5</v>
      </c>
      <c r="R409">
        <v>43380</v>
      </c>
      <c r="S409">
        <f t="shared" si="39"/>
        <v>5.0505050505050504E-2</v>
      </c>
      <c r="T409">
        <v>29</v>
      </c>
      <c r="U409">
        <v>2.97</v>
      </c>
      <c r="V409">
        <v>406224</v>
      </c>
      <c r="W409">
        <v>3325351</v>
      </c>
      <c r="X409">
        <f t="shared" si="40"/>
        <v>8.1860032888258694</v>
      </c>
      <c r="Y409" t="str">
        <f t="shared" si="41"/>
        <v>Weak Product</v>
      </c>
    </row>
    <row r="410" spans="1:25" x14ac:dyDescent="0.3">
      <c r="A410" t="s">
        <v>854</v>
      </c>
      <c r="B410" t="s">
        <v>855</v>
      </c>
      <c r="C410" t="s">
        <v>819</v>
      </c>
      <c r="D410" s="1">
        <v>45360</v>
      </c>
      <c r="E410">
        <v>387</v>
      </c>
      <c r="F410" t="s">
        <v>28</v>
      </c>
      <c r="G410">
        <v>9116</v>
      </c>
      <c r="H410">
        <v>5531</v>
      </c>
      <c r="I410">
        <v>89</v>
      </c>
      <c r="J410">
        <v>136</v>
      </c>
      <c r="K410">
        <v>1239776</v>
      </c>
      <c r="L410">
        <v>226044</v>
      </c>
      <c r="M410">
        <v>1013732</v>
      </c>
      <c r="N410">
        <f t="shared" si="36"/>
        <v>752216</v>
      </c>
      <c r="O410">
        <f t="shared" si="37"/>
        <v>261516</v>
      </c>
      <c r="P410">
        <f t="shared" si="38"/>
        <v>0.2579735077910138</v>
      </c>
      <c r="Q410">
        <v>9</v>
      </c>
      <c r="R410">
        <v>73836</v>
      </c>
      <c r="S410">
        <f t="shared" si="39"/>
        <v>0.10112359550561797</v>
      </c>
      <c r="T410">
        <v>38</v>
      </c>
      <c r="U410">
        <v>3.86</v>
      </c>
      <c r="V410">
        <v>27570</v>
      </c>
      <c r="W410">
        <v>2352974</v>
      </c>
      <c r="X410">
        <f t="shared" si="40"/>
        <v>85.345447950671016</v>
      </c>
      <c r="Y410" t="str">
        <f t="shared" si="41"/>
        <v>Weak Product</v>
      </c>
    </row>
    <row r="411" spans="1:25" x14ac:dyDescent="0.3">
      <c r="A411" t="s">
        <v>856</v>
      </c>
      <c r="B411" t="s">
        <v>857</v>
      </c>
      <c r="C411" t="s">
        <v>819</v>
      </c>
      <c r="D411" s="1">
        <v>44843</v>
      </c>
      <c r="E411">
        <v>904</v>
      </c>
      <c r="F411" t="s">
        <v>28</v>
      </c>
      <c r="G411">
        <v>5974</v>
      </c>
      <c r="H411">
        <v>3760</v>
      </c>
      <c r="I411">
        <v>112</v>
      </c>
      <c r="J411">
        <v>170</v>
      </c>
      <c r="K411">
        <v>1015580</v>
      </c>
      <c r="L411">
        <v>137665</v>
      </c>
      <c r="M411">
        <v>877915</v>
      </c>
      <c r="N411">
        <f t="shared" si="36"/>
        <v>639200</v>
      </c>
      <c r="O411">
        <f t="shared" si="37"/>
        <v>238715</v>
      </c>
      <c r="P411">
        <f t="shared" si="38"/>
        <v>0.27191128981735135</v>
      </c>
      <c r="Q411">
        <v>7</v>
      </c>
      <c r="R411">
        <v>37632</v>
      </c>
      <c r="S411">
        <f t="shared" si="39"/>
        <v>6.25E-2</v>
      </c>
      <c r="T411">
        <v>52</v>
      </c>
      <c r="U411">
        <v>3.92</v>
      </c>
      <c r="V411">
        <v>535096</v>
      </c>
      <c r="W411">
        <v>2891928</v>
      </c>
      <c r="X411">
        <f t="shared" si="40"/>
        <v>5.4045031171976614</v>
      </c>
      <c r="Y411" t="str">
        <f t="shared" si="41"/>
        <v>Weak Product</v>
      </c>
    </row>
    <row r="412" spans="1:25" x14ac:dyDescent="0.3">
      <c r="A412" t="s">
        <v>858</v>
      </c>
      <c r="B412" t="s">
        <v>859</v>
      </c>
      <c r="C412" t="s">
        <v>819</v>
      </c>
      <c r="D412" s="1">
        <v>45192</v>
      </c>
      <c r="E412">
        <v>555</v>
      </c>
      <c r="F412" t="s">
        <v>28</v>
      </c>
      <c r="G412">
        <v>14186</v>
      </c>
      <c r="H412">
        <v>7050</v>
      </c>
      <c r="I412">
        <v>40</v>
      </c>
      <c r="J412">
        <v>65</v>
      </c>
      <c r="K412">
        <v>922090</v>
      </c>
      <c r="L412">
        <v>151414</v>
      </c>
      <c r="M412">
        <v>770676</v>
      </c>
      <c r="N412">
        <f t="shared" si="36"/>
        <v>458250</v>
      </c>
      <c r="O412">
        <f t="shared" si="37"/>
        <v>312426</v>
      </c>
      <c r="P412">
        <f t="shared" si="38"/>
        <v>0.40539214923002664</v>
      </c>
      <c r="Q412">
        <v>0</v>
      </c>
      <c r="R412">
        <v>0</v>
      </c>
      <c r="S412">
        <f t="shared" si="39"/>
        <v>0</v>
      </c>
      <c r="T412">
        <v>9</v>
      </c>
      <c r="U412">
        <v>4.28</v>
      </c>
      <c r="V412">
        <v>523634</v>
      </c>
      <c r="W412">
        <v>7503840</v>
      </c>
      <c r="X412">
        <f t="shared" si="40"/>
        <v>14.330314685448233</v>
      </c>
      <c r="Y412" t="str">
        <f t="shared" si="41"/>
        <v>Star</v>
      </c>
    </row>
    <row r="413" spans="1:25" x14ac:dyDescent="0.3">
      <c r="A413" t="s">
        <v>860</v>
      </c>
      <c r="B413" t="s">
        <v>861</v>
      </c>
      <c r="C413" t="s">
        <v>819</v>
      </c>
      <c r="D413" s="1">
        <v>45358</v>
      </c>
      <c r="E413">
        <v>389</v>
      </c>
      <c r="F413" t="s">
        <v>28</v>
      </c>
      <c r="G413">
        <v>19451</v>
      </c>
      <c r="H413">
        <v>16610</v>
      </c>
      <c r="I413">
        <v>76</v>
      </c>
      <c r="J413">
        <v>119</v>
      </c>
      <c r="K413">
        <v>2314669</v>
      </c>
      <c r="L413">
        <v>362995</v>
      </c>
      <c r="M413">
        <v>1951674</v>
      </c>
      <c r="N413">
        <f t="shared" si="36"/>
        <v>1976590</v>
      </c>
      <c r="O413">
        <f t="shared" si="37"/>
        <v>-24916</v>
      </c>
      <c r="P413">
        <f t="shared" si="38"/>
        <v>-1.276647636849187E-2</v>
      </c>
      <c r="Q413">
        <v>10</v>
      </c>
      <c r="R413">
        <v>175050</v>
      </c>
      <c r="S413">
        <f t="shared" si="39"/>
        <v>0.13157894736842105</v>
      </c>
      <c r="T413">
        <v>38</v>
      </c>
      <c r="U413">
        <v>3.36</v>
      </c>
      <c r="V413">
        <v>171903</v>
      </c>
      <c r="W413">
        <v>3551910</v>
      </c>
      <c r="X413">
        <f t="shared" si="40"/>
        <v>20.662292106594997</v>
      </c>
      <c r="Y413" t="str">
        <f t="shared" si="41"/>
        <v>Weak Product</v>
      </c>
    </row>
    <row r="414" spans="1:25" x14ac:dyDescent="0.3">
      <c r="A414" t="s">
        <v>862</v>
      </c>
      <c r="B414" t="s">
        <v>863</v>
      </c>
      <c r="C414" t="s">
        <v>819</v>
      </c>
      <c r="D414" s="1">
        <v>44945</v>
      </c>
      <c r="E414">
        <v>802</v>
      </c>
      <c r="F414" t="s">
        <v>28</v>
      </c>
      <c r="G414">
        <v>9561</v>
      </c>
      <c r="H414">
        <v>7320</v>
      </c>
      <c r="I414">
        <v>65</v>
      </c>
      <c r="J414">
        <v>93</v>
      </c>
      <c r="K414">
        <v>889173</v>
      </c>
      <c r="L414">
        <v>141325</v>
      </c>
      <c r="M414">
        <v>747848</v>
      </c>
      <c r="N414">
        <f t="shared" si="36"/>
        <v>680760</v>
      </c>
      <c r="O414">
        <f t="shared" si="37"/>
        <v>67088</v>
      </c>
      <c r="P414">
        <f t="shared" si="38"/>
        <v>8.9708069019372921E-2</v>
      </c>
      <c r="Q414">
        <v>3</v>
      </c>
      <c r="R414">
        <v>25812</v>
      </c>
      <c r="S414">
        <f t="shared" si="39"/>
        <v>4.6153846153846156E-2</v>
      </c>
      <c r="T414">
        <v>24</v>
      </c>
      <c r="U414">
        <v>3.46</v>
      </c>
      <c r="V414">
        <v>130384</v>
      </c>
      <c r="W414">
        <v>956940</v>
      </c>
      <c r="X414">
        <f t="shared" si="40"/>
        <v>7.3393974720824637</v>
      </c>
      <c r="Y414" t="str">
        <f t="shared" si="41"/>
        <v>Weak Product</v>
      </c>
    </row>
    <row r="415" spans="1:25" x14ac:dyDescent="0.3">
      <c r="A415" t="s">
        <v>864</v>
      </c>
      <c r="B415" t="s">
        <v>865</v>
      </c>
      <c r="C415" t="s">
        <v>819</v>
      </c>
      <c r="D415" s="1">
        <v>45364</v>
      </c>
      <c r="E415">
        <v>383</v>
      </c>
      <c r="F415" t="s">
        <v>28</v>
      </c>
      <c r="G415">
        <v>10089</v>
      </c>
      <c r="H415">
        <v>8224</v>
      </c>
      <c r="I415">
        <v>58</v>
      </c>
      <c r="J415">
        <v>89</v>
      </c>
      <c r="K415">
        <v>897921</v>
      </c>
      <c r="L415">
        <v>143097</v>
      </c>
      <c r="M415">
        <v>754824</v>
      </c>
      <c r="N415">
        <f t="shared" si="36"/>
        <v>731936</v>
      </c>
      <c r="O415">
        <f t="shared" si="37"/>
        <v>22888</v>
      </c>
      <c r="P415">
        <f t="shared" si="38"/>
        <v>3.032230029781777E-2</v>
      </c>
      <c r="Q415">
        <v>3</v>
      </c>
      <c r="R415">
        <v>27240</v>
      </c>
      <c r="S415">
        <f t="shared" si="39"/>
        <v>5.1724137931034482E-2</v>
      </c>
      <c r="T415">
        <v>19</v>
      </c>
      <c r="U415">
        <v>2.92</v>
      </c>
      <c r="V415">
        <v>139238</v>
      </c>
      <c r="W415">
        <v>1353607</v>
      </c>
      <c r="X415">
        <f t="shared" si="40"/>
        <v>9.7215343512546859</v>
      </c>
      <c r="Y415" t="str">
        <f t="shared" si="41"/>
        <v>Weak Product</v>
      </c>
    </row>
    <row r="416" spans="1:25" x14ac:dyDescent="0.3">
      <c r="A416" t="s">
        <v>866</v>
      </c>
      <c r="B416" t="s">
        <v>867</v>
      </c>
      <c r="C416" t="s">
        <v>819</v>
      </c>
      <c r="D416" s="1">
        <v>45506</v>
      </c>
      <c r="E416">
        <v>241</v>
      </c>
      <c r="F416" t="s">
        <v>28</v>
      </c>
      <c r="G416">
        <v>4884</v>
      </c>
      <c r="H416">
        <v>2810</v>
      </c>
      <c r="I416">
        <v>154</v>
      </c>
      <c r="J416">
        <v>216</v>
      </c>
      <c r="K416">
        <v>1054944</v>
      </c>
      <c r="L416">
        <v>183168</v>
      </c>
      <c r="M416">
        <v>871776</v>
      </c>
      <c r="N416">
        <f t="shared" si="36"/>
        <v>606960</v>
      </c>
      <c r="O416">
        <f t="shared" si="37"/>
        <v>264816</v>
      </c>
      <c r="P416">
        <f t="shared" si="38"/>
        <v>0.30376610505450941</v>
      </c>
      <c r="Q416">
        <v>10</v>
      </c>
      <c r="R416">
        <v>43950</v>
      </c>
      <c r="S416">
        <f t="shared" si="39"/>
        <v>6.4935064935064929E-2</v>
      </c>
      <c r="T416">
        <v>64</v>
      </c>
      <c r="U416">
        <v>4.2699999999999996</v>
      </c>
      <c r="V416">
        <v>405981</v>
      </c>
      <c r="W416">
        <v>2663632</v>
      </c>
      <c r="X416">
        <f t="shared" si="40"/>
        <v>6.560976991534087</v>
      </c>
      <c r="Y416" t="str">
        <f t="shared" si="41"/>
        <v>Weak Product</v>
      </c>
    </row>
    <row r="417" spans="1:25" x14ac:dyDescent="0.3">
      <c r="A417" t="s">
        <v>868</v>
      </c>
      <c r="B417" t="s">
        <v>869</v>
      </c>
      <c r="C417" t="s">
        <v>819</v>
      </c>
      <c r="D417" s="1">
        <v>45420</v>
      </c>
      <c r="E417">
        <v>327</v>
      </c>
      <c r="F417" t="s">
        <v>28</v>
      </c>
      <c r="G417">
        <v>19403</v>
      </c>
      <c r="H417">
        <v>11280</v>
      </c>
      <c r="I417">
        <v>22</v>
      </c>
      <c r="J417">
        <v>38</v>
      </c>
      <c r="K417">
        <v>737314</v>
      </c>
      <c r="L417">
        <v>67670</v>
      </c>
      <c r="M417">
        <v>669644</v>
      </c>
      <c r="N417">
        <f t="shared" si="36"/>
        <v>428640</v>
      </c>
      <c r="O417">
        <f t="shared" si="37"/>
        <v>241004</v>
      </c>
      <c r="P417">
        <f t="shared" si="38"/>
        <v>0.3598986924395649</v>
      </c>
      <c r="Q417">
        <v>1</v>
      </c>
      <c r="R417">
        <v>17462</v>
      </c>
      <c r="S417">
        <f t="shared" si="39"/>
        <v>4.5454545454545456E-2</v>
      </c>
      <c r="T417">
        <v>12</v>
      </c>
      <c r="U417">
        <v>4.17</v>
      </c>
      <c r="V417">
        <v>324191</v>
      </c>
      <c r="W417">
        <v>8786649</v>
      </c>
      <c r="X417">
        <f t="shared" si="40"/>
        <v>27.103309468800798</v>
      </c>
      <c r="Y417" t="str">
        <f t="shared" si="41"/>
        <v>Star</v>
      </c>
    </row>
    <row r="418" spans="1:25" x14ac:dyDescent="0.3">
      <c r="A418" t="s">
        <v>870</v>
      </c>
      <c r="B418" t="s">
        <v>871</v>
      </c>
      <c r="C418" t="s">
        <v>819</v>
      </c>
      <c r="D418" s="1">
        <v>45009</v>
      </c>
      <c r="E418">
        <v>738</v>
      </c>
      <c r="F418" t="s">
        <v>28</v>
      </c>
      <c r="G418">
        <v>12046</v>
      </c>
      <c r="H418">
        <v>8091</v>
      </c>
      <c r="I418">
        <v>75</v>
      </c>
      <c r="J418">
        <v>110</v>
      </c>
      <c r="K418">
        <v>1325060</v>
      </c>
      <c r="L418">
        <v>170353</v>
      </c>
      <c r="M418">
        <v>1154707</v>
      </c>
      <c r="N418">
        <f t="shared" si="36"/>
        <v>890010</v>
      </c>
      <c r="O418">
        <f t="shared" si="37"/>
        <v>264697</v>
      </c>
      <c r="P418">
        <f t="shared" si="38"/>
        <v>0.22923304353398741</v>
      </c>
      <c r="Q418">
        <v>6</v>
      </c>
      <c r="R418">
        <v>65046</v>
      </c>
      <c r="S418">
        <f t="shared" si="39"/>
        <v>0.08</v>
      </c>
      <c r="T418">
        <v>29</v>
      </c>
      <c r="U418">
        <v>3.88</v>
      </c>
      <c r="V418">
        <v>762949</v>
      </c>
      <c r="W418">
        <v>9022828</v>
      </c>
      <c r="X418">
        <f t="shared" si="40"/>
        <v>11.826253130943222</v>
      </c>
      <c r="Y418" t="str">
        <f t="shared" si="41"/>
        <v>Weak Product</v>
      </c>
    </row>
    <row r="419" spans="1:25" x14ac:dyDescent="0.3">
      <c r="A419" t="s">
        <v>872</v>
      </c>
      <c r="B419" t="s">
        <v>873</v>
      </c>
      <c r="C419" t="s">
        <v>819</v>
      </c>
      <c r="D419" s="1">
        <v>45022</v>
      </c>
      <c r="E419">
        <v>725</v>
      </c>
      <c r="F419" t="s">
        <v>28</v>
      </c>
      <c r="G419">
        <v>18617</v>
      </c>
      <c r="H419">
        <v>10363</v>
      </c>
      <c r="I419">
        <v>46</v>
      </c>
      <c r="J419">
        <v>70</v>
      </c>
      <c r="K419">
        <v>1303190</v>
      </c>
      <c r="L419">
        <v>149465</v>
      </c>
      <c r="M419">
        <v>1153725</v>
      </c>
      <c r="N419">
        <f t="shared" si="36"/>
        <v>725410</v>
      </c>
      <c r="O419">
        <f t="shared" si="37"/>
        <v>428315</v>
      </c>
      <c r="P419">
        <f t="shared" si="38"/>
        <v>0.37124531409131289</v>
      </c>
      <c r="Q419">
        <v>5</v>
      </c>
      <c r="R419">
        <v>83775</v>
      </c>
      <c r="S419">
        <f t="shared" si="39"/>
        <v>0.10869565217391304</v>
      </c>
      <c r="T419">
        <v>18</v>
      </c>
      <c r="U419">
        <v>4.28</v>
      </c>
      <c r="V419">
        <v>365863</v>
      </c>
      <c r="W419">
        <v>9476714</v>
      </c>
      <c r="X419">
        <f t="shared" si="40"/>
        <v>25.902356893153996</v>
      </c>
      <c r="Y419" t="str">
        <f t="shared" si="41"/>
        <v>Weak Product</v>
      </c>
    </row>
    <row r="420" spans="1:25" x14ac:dyDescent="0.3">
      <c r="A420" t="s">
        <v>874</v>
      </c>
      <c r="B420" t="s">
        <v>875</v>
      </c>
      <c r="C420" t="s">
        <v>819</v>
      </c>
      <c r="D420" s="1">
        <v>45174</v>
      </c>
      <c r="E420">
        <v>573</v>
      </c>
      <c r="F420" t="s">
        <v>28</v>
      </c>
      <c r="G420">
        <v>14077</v>
      </c>
      <c r="H420">
        <v>7677</v>
      </c>
      <c r="I420">
        <v>43</v>
      </c>
      <c r="J420">
        <v>71</v>
      </c>
      <c r="K420">
        <v>999467</v>
      </c>
      <c r="L420">
        <v>140393</v>
      </c>
      <c r="M420">
        <v>859074</v>
      </c>
      <c r="N420">
        <f t="shared" si="36"/>
        <v>545067</v>
      </c>
      <c r="O420">
        <f t="shared" si="37"/>
        <v>314007</v>
      </c>
      <c r="P420">
        <f t="shared" si="38"/>
        <v>0.36551798797309659</v>
      </c>
      <c r="Q420">
        <v>1</v>
      </c>
      <c r="R420">
        <v>12669</v>
      </c>
      <c r="S420">
        <f t="shared" si="39"/>
        <v>2.3255813953488372E-2</v>
      </c>
      <c r="T420">
        <v>20</v>
      </c>
      <c r="U420">
        <v>4.33</v>
      </c>
      <c r="V420">
        <v>376659</v>
      </c>
      <c r="W420">
        <v>6149985</v>
      </c>
      <c r="X420">
        <f t="shared" si="40"/>
        <v>16.327726139558592</v>
      </c>
      <c r="Y420" t="str">
        <f t="shared" si="41"/>
        <v>Star</v>
      </c>
    </row>
    <row r="421" spans="1:25" x14ac:dyDescent="0.3">
      <c r="A421" t="s">
        <v>876</v>
      </c>
      <c r="B421" t="s">
        <v>877</v>
      </c>
      <c r="C421" t="s">
        <v>819</v>
      </c>
      <c r="D421" s="1">
        <v>44907</v>
      </c>
      <c r="E421">
        <v>840</v>
      </c>
      <c r="F421" t="s">
        <v>28</v>
      </c>
      <c r="G421">
        <v>19314</v>
      </c>
      <c r="H421">
        <v>9175</v>
      </c>
      <c r="I421">
        <v>80</v>
      </c>
      <c r="J421">
        <v>123</v>
      </c>
      <c r="K421">
        <v>2375622</v>
      </c>
      <c r="L421">
        <v>358228</v>
      </c>
      <c r="M421">
        <v>2017394</v>
      </c>
      <c r="N421">
        <f t="shared" si="36"/>
        <v>1128525</v>
      </c>
      <c r="O421">
        <f t="shared" si="37"/>
        <v>888869</v>
      </c>
      <c r="P421">
        <f t="shared" si="38"/>
        <v>0.44060257936724306</v>
      </c>
      <c r="Q421">
        <v>5</v>
      </c>
      <c r="R421">
        <v>86910</v>
      </c>
      <c r="S421">
        <f t="shared" si="39"/>
        <v>6.25E-2</v>
      </c>
      <c r="T421">
        <v>32</v>
      </c>
      <c r="U421">
        <v>4.55</v>
      </c>
      <c r="V421">
        <v>547192</v>
      </c>
      <c r="W421">
        <v>12697343</v>
      </c>
      <c r="X421">
        <f t="shared" si="40"/>
        <v>23.204547946607406</v>
      </c>
      <c r="Y421" t="str">
        <f t="shared" si="41"/>
        <v>Weak Product</v>
      </c>
    </row>
    <row r="422" spans="1:25" x14ac:dyDescent="0.3">
      <c r="A422" t="s">
        <v>878</v>
      </c>
      <c r="B422" t="s">
        <v>879</v>
      </c>
      <c r="C422" t="s">
        <v>819</v>
      </c>
      <c r="D422" s="1">
        <v>44989</v>
      </c>
      <c r="E422">
        <v>758</v>
      </c>
      <c r="F422" t="s">
        <v>28</v>
      </c>
      <c r="G422">
        <v>13835</v>
      </c>
      <c r="H422">
        <v>12114</v>
      </c>
      <c r="I422">
        <v>87</v>
      </c>
      <c r="J422">
        <v>137</v>
      </c>
      <c r="K422">
        <v>1895395</v>
      </c>
      <c r="L422">
        <v>274885</v>
      </c>
      <c r="M422">
        <v>1620510</v>
      </c>
      <c r="N422">
        <f t="shared" si="36"/>
        <v>1659618</v>
      </c>
      <c r="O422">
        <f t="shared" si="37"/>
        <v>-39108</v>
      </c>
      <c r="P422">
        <f t="shared" si="38"/>
        <v>-2.4133143269711388E-2</v>
      </c>
      <c r="Q422">
        <v>12</v>
      </c>
      <c r="R422">
        <v>149412</v>
      </c>
      <c r="S422">
        <f t="shared" si="39"/>
        <v>0.13793103448275862</v>
      </c>
      <c r="T422">
        <v>33</v>
      </c>
      <c r="U422">
        <v>2.83</v>
      </c>
      <c r="V422">
        <v>135481</v>
      </c>
      <c r="W422">
        <v>2089134</v>
      </c>
      <c r="X422">
        <f t="shared" si="40"/>
        <v>15.420125331227258</v>
      </c>
      <c r="Y422" t="str">
        <f t="shared" si="41"/>
        <v>Weak Product</v>
      </c>
    </row>
    <row r="423" spans="1:25" x14ac:dyDescent="0.3">
      <c r="A423" t="s">
        <v>880</v>
      </c>
      <c r="B423" t="s">
        <v>881</v>
      </c>
      <c r="C423" t="s">
        <v>819</v>
      </c>
      <c r="D423" s="1">
        <v>45567</v>
      </c>
      <c r="E423">
        <v>180</v>
      </c>
      <c r="F423" t="s">
        <v>28</v>
      </c>
      <c r="G423">
        <v>4992</v>
      </c>
      <c r="H423">
        <v>3782</v>
      </c>
      <c r="I423">
        <v>92</v>
      </c>
      <c r="J423">
        <v>137</v>
      </c>
      <c r="K423">
        <v>683904</v>
      </c>
      <c r="L423">
        <v>120112</v>
      </c>
      <c r="M423">
        <v>563792</v>
      </c>
      <c r="N423">
        <f t="shared" si="36"/>
        <v>518134</v>
      </c>
      <c r="O423">
        <f t="shared" si="37"/>
        <v>45658</v>
      </c>
      <c r="P423">
        <f t="shared" si="38"/>
        <v>8.0983767063030343E-2</v>
      </c>
      <c r="Q423">
        <v>10</v>
      </c>
      <c r="R423">
        <v>44920</v>
      </c>
      <c r="S423">
        <f t="shared" si="39"/>
        <v>0.10869565217391304</v>
      </c>
      <c r="T423">
        <v>35</v>
      </c>
      <c r="U423">
        <v>3.54</v>
      </c>
      <c r="V423">
        <v>568739</v>
      </c>
      <c r="W423">
        <v>4004491</v>
      </c>
      <c r="X423">
        <f t="shared" si="40"/>
        <v>7.0409994742755462</v>
      </c>
      <c r="Y423" t="str">
        <f t="shared" si="41"/>
        <v>Weak Product</v>
      </c>
    </row>
    <row r="424" spans="1:25" x14ac:dyDescent="0.3">
      <c r="A424" t="s">
        <v>882</v>
      </c>
      <c r="B424" t="s">
        <v>883</v>
      </c>
      <c r="C424" t="s">
        <v>819</v>
      </c>
      <c r="D424" s="1">
        <v>45049</v>
      </c>
      <c r="E424">
        <v>698</v>
      </c>
      <c r="F424" t="s">
        <v>28</v>
      </c>
      <c r="G424">
        <v>453</v>
      </c>
      <c r="H424">
        <v>315</v>
      </c>
      <c r="I424">
        <v>529</v>
      </c>
      <c r="J424">
        <v>791</v>
      </c>
      <c r="K424">
        <v>358323</v>
      </c>
      <c r="L424">
        <v>55997</v>
      </c>
      <c r="M424">
        <v>302326</v>
      </c>
      <c r="N424">
        <f t="shared" si="36"/>
        <v>249165</v>
      </c>
      <c r="O424">
        <f t="shared" si="37"/>
        <v>53161</v>
      </c>
      <c r="P424">
        <f t="shared" si="38"/>
        <v>0.17583998729847913</v>
      </c>
      <c r="Q424">
        <v>45</v>
      </c>
      <c r="R424">
        <v>18315</v>
      </c>
      <c r="S424">
        <f t="shared" si="39"/>
        <v>8.5066162570888462E-2</v>
      </c>
      <c r="T424">
        <v>232</v>
      </c>
      <c r="U424">
        <v>3.71</v>
      </c>
      <c r="V424">
        <v>586490</v>
      </c>
      <c r="W424">
        <v>288094</v>
      </c>
      <c r="X424">
        <f t="shared" si="40"/>
        <v>0.49121724155569574</v>
      </c>
      <c r="Y424" t="str">
        <f t="shared" si="41"/>
        <v>Weak Product</v>
      </c>
    </row>
    <row r="425" spans="1:25" x14ac:dyDescent="0.3">
      <c r="A425" t="s">
        <v>884</v>
      </c>
      <c r="B425" t="s">
        <v>885</v>
      </c>
      <c r="C425" t="s">
        <v>819</v>
      </c>
      <c r="D425" s="1">
        <v>45483</v>
      </c>
      <c r="E425">
        <v>264</v>
      </c>
      <c r="F425" t="s">
        <v>28</v>
      </c>
      <c r="G425">
        <v>4539</v>
      </c>
      <c r="H425">
        <v>2829</v>
      </c>
      <c r="I425">
        <v>113</v>
      </c>
      <c r="J425">
        <v>171</v>
      </c>
      <c r="K425">
        <v>776169</v>
      </c>
      <c r="L425">
        <v>93868</v>
      </c>
      <c r="M425">
        <v>682301</v>
      </c>
      <c r="N425">
        <f t="shared" si="36"/>
        <v>483759</v>
      </c>
      <c r="O425">
        <f t="shared" si="37"/>
        <v>198542</v>
      </c>
      <c r="P425">
        <f t="shared" si="38"/>
        <v>0.29098887441173321</v>
      </c>
      <c r="Q425">
        <v>4</v>
      </c>
      <c r="R425">
        <v>16340</v>
      </c>
      <c r="S425">
        <f t="shared" si="39"/>
        <v>3.5398230088495575E-2</v>
      </c>
      <c r="T425">
        <v>41</v>
      </c>
      <c r="U425">
        <v>3.99</v>
      </c>
      <c r="V425">
        <v>537935</v>
      </c>
      <c r="W425">
        <v>2877809</v>
      </c>
      <c r="X425">
        <f t="shared" si="40"/>
        <v>5.349733703886157</v>
      </c>
      <c r="Y425" t="str">
        <f t="shared" si="41"/>
        <v>Weak Product</v>
      </c>
    </row>
    <row r="426" spans="1:25" x14ac:dyDescent="0.3">
      <c r="A426" t="s">
        <v>886</v>
      </c>
      <c r="B426" t="s">
        <v>887</v>
      </c>
      <c r="C426" t="s">
        <v>819</v>
      </c>
      <c r="D426" s="1">
        <v>45164</v>
      </c>
      <c r="E426">
        <v>583</v>
      </c>
      <c r="F426" t="s">
        <v>28</v>
      </c>
      <c r="G426">
        <v>12524</v>
      </c>
      <c r="H426">
        <v>5917</v>
      </c>
      <c r="I426">
        <v>84</v>
      </c>
      <c r="J426">
        <v>131</v>
      </c>
      <c r="K426">
        <v>1640644</v>
      </c>
      <c r="L426">
        <v>205418</v>
      </c>
      <c r="M426">
        <v>1435226</v>
      </c>
      <c r="N426">
        <f t="shared" si="36"/>
        <v>775127</v>
      </c>
      <c r="O426">
        <f t="shared" si="37"/>
        <v>660099</v>
      </c>
      <c r="P426">
        <f t="shared" si="38"/>
        <v>0.45992686866040611</v>
      </c>
      <c r="Q426">
        <v>7</v>
      </c>
      <c r="R426">
        <v>78897</v>
      </c>
      <c r="S426">
        <f t="shared" si="39"/>
        <v>8.3333333333333329E-2</v>
      </c>
      <c r="T426">
        <v>30</v>
      </c>
      <c r="U426">
        <v>4.4800000000000004</v>
      </c>
      <c r="V426">
        <v>207089</v>
      </c>
      <c r="W426">
        <v>6195142</v>
      </c>
      <c r="X426">
        <f t="shared" si="40"/>
        <v>29.91536006258179</v>
      </c>
      <c r="Y426" t="str">
        <f t="shared" si="41"/>
        <v>Weak Product</v>
      </c>
    </row>
    <row r="427" spans="1:25" x14ac:dyDescent="0.3">
      <c r="A427" t="s">
        <v>888</v>
      </c>
      <c r="B427" t="s">
        <v>889</v>
      </c>
      <c r="C427" t="s">
        <v>819</v>
      </c>
      <c r="D427" s="1">
        <v>44940</v>
      </c>
      <c r="E427">
        <v>807</v>
      </c>
      <c r="F427" t="s">
        <v>28</v>
      </c>
      <c r="G427">
        <v>11582</v>
      </c>
      <c r="H427">
        <v>8797</v>
      </c>
      <c r="I427">
        <v>80</v>
      </c>
      <c r="J427">
        <v>128</v>
      </c>
      <c r="K427">
        <v>1482496</v>
      </c>
      <c r="L427">
        <v>185050</v>
      </c>
      <c r="M427">
        <v>1297446</v>
      </c>
      <c r="N427">
        <f t="shared" si="36"/>
        <v>1126016</v>
      </c>
      <c r="O427">
        <f t="shared" si="37"/>
        <v>171430</v>
      </c>
      <c r="P427">
        <f t="shared" si="38"/>
        <v>0.1321288130681354</v>
      </c>
      <c r="Q427">
        <v>7</v>
      </c>
      <c r="R427">
        <v>72961</v>
      </c>
      <c r="S427">
        <f t="shared" si="39"/>
        <v>8.7499999999999994E-2</v>
      </c>
      <c r="T427">
        <v>32</v>
      </c>
      <c r="U427">
        <v>3.53</v>
      </c>
      <c r="V427">
        <v>418441</v>
      </c>
      <c r="W427">
        <v>5740548</v>
      </c>
      <c r="X427">
        <f t="shared" si="40"/>
        <v>13.718894658984182</v>
      </c>
      <c r="Y427" t="str">
        <f t="shared" si="41"/>
        <v>Weak Product</v>
      </c>
    </row>
    <row r="428" spans="1:25" x14ac:dyDescent="0.3">
      <c r="A428" t="s">
        <v>890</v>
      </c>
      <c r="B428" t="s">
        <v>891</v>
      </c>
      <c r="C428" t="s">
        <v>819</v>
      </c>
      <c r="D428" s="1">
        <v>45445</v>
      </c>
      <c r="E428">
        <v>302</v>
      </c>
      <c r="F428" t="s">
        <v>28</v>
      </c>
      <c r="G428">
        <v>15238</v>
      </c>
      <c r="H428">
        <v>8723</v>
      </c>
      <c r="I428">
        <v>64</v>
      </c>
      <c r="J428">
        <v>96</v>
      </c>
      <c r="K428">
        <v>1462848</v>
      </c>
      <c r="L428">
        <v>254438</v>
      </c>
      <c r="M428">
        <v>1208410</v>
      </c>
      <c r="N428">
        <f t="shared" si="36"/>
        <v>837408</v>
      </c>
      <c r="O428">
        <f t="shared" si="37"/>
        <v>371002</v>
      </c>
      <c r="P428">
        <f t="shared" si="38"/>
        <v>0.30701665825340735</v>
      </c>
      <c r="Q428">
        <v>7</v>
      </c>
      <c r="R428">
        <v>95998</v>
      </c>
      <c r="S428">
        <f t="shared" si="39"/>
        <v>0.109375</v>
      </c>
      <c r="T428">
        <v>26</v>
      </c>
      <c r="U428">
        <v>4.17</v>
      </c>
      <c r="V428">
        <v>294091</v>
      </c>
      <c r="W428">
        <v>7007883</v>
      </c>
      <c r="X428">
        <f t="shared" si="40"/>
        <v>23.828961103876011</v>
      </c>
      <c r="Y428" t="str">
        <f t="shared" si="41"/>
        <v>Weak Product</v>
      </c>
    </row>
    <row r="429" spans="1:25" x14ac:dyDescent="0.3">
      <c r="A429" t="s">
        <v>892</v>
      </c>
      <c r="B429" t="s">
        <v>893</v>
      </c>
      <c r="C429" t="s">
        <v>819</v>
      </c>
      <c r="D429" s="1">
        <v>45003</v>
      </c>
      <c r="E429">
        <v>744</v>
      </c>
      <c r="F429" t="s">
        <v>28</v>
      </c>
      <c r="G429">
        <v>12070</v>
      </c>
      <c r="H429">
        <v>6788</v>
      </c>
      <c r="I429">
        <v>50</v>
      </c>
      <c r="J429">
        <v>76</v>
      </c>
      <c r="K429">
        <v>917320</v>
      </c>
      <c r="L429">
        <v>135735</v>
      </c>
      <c r="M429">
        <v>781585</v>
      </c>
      <c r="N429">
        <f t="shared" si="36"/>
        <v>515888</v>
      </c>
      <c r="O429">
        <f t="shared" si="37"/>
        <v>265697</v>
      </c>
      <c r="P429">
        <f t="shared" si="38"/>
        <v>0.33994639098754453</v>
      </c>
      <c r="Q429">
        <v>6</v>
      </c>
      <c r="R429">
        <v>65178</v>
      </c>
      <c r="S429">
        <f t="shared" si="39"/>
        <v>0.12</v>
      </c>
      <c r="T429">
        <v>26</v>
      </c>
      <c r="U429">
        <v>4.37</v>
      </c>
      <c r="V429">
        <v>271178</v>
      </c>
      <c r="W429">
        <v>4318762</v>
      </c>
      <c r="X429">
        <f t="shared" si="40"/>
        <v>15.925930569588978</v>
      </c>
      <c r="Y429" t="str">
        <f t="shared" si="41"/>
        <v>Weak Product</v>
      </c>
    </row>
    <row r="430" spans="1:25" x14ac:dyDescent="0.3">
      <c r="A430" t="s">
        <v>894</v>
      </c>
      <c r="B430" t="s">
        <v>895</v>
      </c>
      <c r="C430" t="s">
        <v>819</v>
      </c>
      <c r="D430" s="1">
        <v>45438</v>
      </c>
      <c r="E430">
        <v>309</v>
      </c>
      <c r="F430" t="s">
        <v>28</v>
      </c>
      <c r="G430">
        <v>7219</v>
      </c>
      <c r="H430">
        <v>4112</v>
      </c>
      <c r="I430">
        <v>85</v>
      </c>
      <c r="J430">
        <v>126</v>
      </c>
      <c r="K430">
        <v>909594</v>
      </c>
      <c r="L430">
        <v>161209</v>
      </c>
      <c r="M430">
        <v>748385</v>
      </c>
      <c r="N430">
        <f t="shared" si="36"/>
        <v>518112</v>
      </c>
      <c r="O430">
        <f t="shared" si="37"/>
        <v>230273</v>
      </c>
      <c r="P430">
        <f t="shared" si="38"/>
        <v>0.30769323276121247</v>
      </c>
      <c r="Q430">
        <v>9</v>
      </c>
      <c r="R430">
        <v>58473</v>
      </c>
      <c r="S430">
        <f t="shared" si="39"/>
        <v>0.10588235294117647</v>
      </c>
      <c r="T430">
        <v>31</v>
      </c>
      <c r="U430">
        <v>4.26</v>
      </c>
      <c r="V430">
        <v>518246</v>
      </c>
      <c r="W430">
        <v>4962925</v>
      </c>
      <c r="X430">
        <f t="shared" si="40"/>
        <v>9.5763884332922977</v>
      </c>
      <c r="Y430" t="str">
        <f t="shared" si="41"/>
        <v>Weak Product</v>
      </c>
    </row>
    <row r="431" spans="1:25" x14ac:dyDescent="0.3">
      <c r="A431" t="s">
        <v>896</v>
      </c>
      <c r="B431" t="s">
        <v>897</v>
      </c>
      <c r="C431" t="s">
        <v>819</v>
      </c>
      <c r="D431" s="1">
        <v>45443</v>
      </c>
      <c r="E431">
        <v>304</v>
      </c>
      <c r="F431" t="s">
        <v>28</v>
      </c>
      <c r="G431">
        <v>17821</v>
      </c>
      <c r="H431">
        <v>11041</v>
      </c>
      <c r="I431">
        <v>54</v>
      </c>
      <c r="J431">
        <v>80</v>
      </c>
      <c r="K431">
        <v>1425680</v>
      </c>
      <c r="L431">
        <v>217988</v>
      </c>
      <c r="M431">
        <v>1207692</v>
      </c>
      <c r="N431">
        <f t="shared" si="36"/>
        <v>883280</v>
      </c>
      <c r="O431">
        <f t="shared" si="37"/>
        <v>324412</v>
      </c>
      <c r="P431">
        <f t="shared" si="38"/>
        <v>0.26862146971247636</v>
      </c>
      <c r="Q431">
        <v>4</v>
      </c>
      <c r="R431">
        <v>64152</v>
      </c>
      <c r="S431">
        <f t="shared" si="39"/>
        <v>7.407407407407407E-2</v>
      </c>
      <c r="T431">
        <v>20</v>
      </c>
      <c r="U431">
        <v>3.73</v>
      </c>
      <c r="V431">
        <v>126925</v>
      </c>
      <c r="W431">
        <v>1117386</v>
      </c>
      <c r="X431">
        <f t="shared" si="40"/>
        <v>8.8035138861532403</v>
      </c>
      <c r="Y431" t="str">
        <f t="shared" si="41"/>
        <v>Weak Product</v>
      </c>
    </row>
    <row r="432" spans="1:25" x14ac:dyDescent="0.3">
      <c r="A432" t="s">
        <v>898</v>
      </c>
      <c r="B432" t="s">
        <v>899</v>
      </c>
      <c r="C432" t="s">
        <v>819</v>
      </c>
      <c r="D432" s="1">
        <v>44961</v>
      </c>
      <c r="E432">
        <v>786</v>
      </c>
      <c r="F432" t="s">
        <v>28</v>
      </c>
      <c r="G432">
        <v>13955</v>
      </c>
      <c r="H432">
        <v>9769</v>
      </c>
      <c r="I432">
        <v>64</v>
      </c>
      <c r="J432">
        <v>89</v>
      </c>
      <c r="K432">
        <v>1241995</v>
      </c>
      <c r="L432">
        <v>129369</v>
      </c>
      <c r="M432">
        <v>1112626</v>
      </c>
      <c r="N432">
        <f t="shared" si="36"/>
        <v>869441</v>
      </c>
      <c r="O432">
        <f t="shared" si="37"/>
        <v>243185</v>
      </c>
      <c r="P432">
        <f t="shared" si="38"/>
        <v>0.21856850370205261</v>
      </c>
      <c r="Q432">
        <v>10</v>
      </c>
      <c r="R432">
        <v>125590</v>
      </c>
      <c r="S432">
        <f t="shared" si="39"/>
        <v>0.15625</v>
      </c>
      <c r="T432">
        <v>20</v>
      </c>
      <c r="U432">
        <v>3.53</v>
      </c>
      <c r="V432">
        <v>730655</v>
      </c>
      <c r="W432">
        <v>7961664</v>
      </c>
      <c r="X432">
        <f t="shared" si="40"/>
        <v>10.896611944077573</v>
      </c>
      <c r="Y432" t="str">
        <f t="shared" si="41"/>
        <v>Weak Product</v>
      </c>
    </row>
    <row r="433" spans="1:25" x14ac:dyDescent="0.3">
      <c r="A433" t="s">
        <v>900</v>
      </c>
      <c r="B433" t="s">
        <v>901</v>
      </c>
      <c r="C433" t="s">
        <v>819</v>
      </c>
      <c r="D433" s="1">
        <v>44938</v>
      </c>
      <c r="E433">
        <v>809</v>
      </c>
      <c r="F433" t="s">
        <v>28</v>
      </c>
      <c r="G433">
        <v>10165</v>
      </c>
      <c r="H433">
        <v>7223</v>
      </c>
      <c r="I433">
        <v>102</v>
      </c>
      <c r="J433">
        <v>146</v>
      </c>
      <c r="K433">
        <v>1484090</v>
      </c>
      <c r="L433">
        <v>226819</v>
      </c>
      <c r="M433">
        <v>1257271</v>
      </c>
      <c r="N433">
        <f t="shared" si="36"/>
        <v>1054558</v>
      </c>
      <c r="O433">
        <f t="shared" si="37"/>
        <v>202713</v>
      </c>
      <c r="P433">
        <f t="shared" si="38"/>
        <v>0.16123254254651542</v>
      </c>
      <c r="Q433">
        <v>7</v>
      </c>
      <c r="R433">
        <v>64036</v>
      </c>
      <c r="S433">
        <f t="shared" si="39"/>
        <v>6.8627450980392163E-2</v>
      </c>
      <c r="T433">
        <v>42</v>
      </c>
      <c r="U433">
        <v>3.65</v>
      </c>
      <c r="V433">
        <v>454403</v>
      </c>
      <c r="W433">
        <v>5784028</v>
      </c>
      <c r="X433">
        <f t="shared" si="40"/>
        <v>12.728850821847567</v>
      </c>
      <c r="Y433" t="str">
        <f t="shared" si="41"/>
        <v>Weak Product</v>
      </c>
    </row>
    <row r="434" spans="1:25" x14ac:dyDescent="0.3">
      <c r="A434" t="s">
        <v>902</v>
      </c>
      <c r="B434" t="s">
        <v>903</v>
      </c>
      <c r="C434" t="s">
        <v>819</v>
      </c>
      <c r="D434" s="1">
        <v>44955</v>
      </c>
      <c r="E434">
        <v>792</v>
      </c>
      <c r="F434" t="s">
        <v>28</v>
      </c>
      <c r="G434">
        <v>17062</v>
      </c>
      <c r="H434">
        <v>9837</v>
      </c>
      <c r="I434">
        <v>39</v>
      </c>
      <c r="J434">
        <v>58</v>
      </c>
      <c r="K434">
        <v>989596</v>
      </c>
      <c r="L434">
        <v>107616</v>
      </c>
      <c r="M434">
        <v>881980</v>
      </c>
      <c r="N434">
        <f t="shared" si="36"/>
        <v>570546</v>
      </c>
      <c r="O434">
        <f t="shared" si="37"/>
        <v>311434</v>
      </c>
      <c r="P434">
        <f t="shared" si="38"/>
        <v>0.35310778022177375</v>
      </c>
      <c r="Q434">
        <v>2</v>
      </c>
      <c r="R434">
        <v>30710</v>
      </c>
      <c r="S434">
        <f t="shared" si="39"/>
        <v>5.128205128205128E-2</v>
      </c>
      <c r="T434">
        <v>14</v>
      </c>
      <c r="U434">
        <v>4.18</v>
      </c>
      <c r="V434">
        <v>638292</v>
      </c>
      <c r="W434">
        <v>11252396</v>
      </c>
      <c r="X434">
        <f t="shared" si="40"/>
        <v>17.628915919359791</v>
      </c>
      <c r="Y434" t="str">
        <f t="shared" si="41"/>
        <v>Weak Product</v>
      </c>
    </row>
    <row r="435" spans="1:25" x14ac:dyDescent="0.3">
      <c r="A435" t="s">
        <v>904</v>
      </c>
      <c r="B435" t="s">
        <v>905</v>
      </c>
      <c r="C435" t="s">
        <v>819</v>
      </c>
      <c r="D435" s="1">
        <v>45201</v>
      </c>
      <c r="E435">
        <v>546</v>
      </c>
      <c r="F435" t="s">
        <v>28</v>
      </c>
      <c r="G435">
        <v>17441</v>
      </c>
      <c r="H435">
        <v>8059</v>
      </c>
      <c r="I435">
        <v>32</v>
      </c>
      <c r="J435">
        <v>48</v>
      </c>
      <c r="K435">
        <v>837168</v>
      </c>
      <c r="L435">
        <v>81687</v>
      </c>
      <c r="M435">
        <v>755481</v>
      </c>
      <c r="N435">
        <f t="shared" si="36"/>
        <v>386832</v>
      </c>
      <c r="O435">
        <f t="shared" si="37"/>
        <v>368649</v>
      </c>
      <c r="P435">
        <f t="shared" si="38"/>
        <v>0.48796594487485456</v>
      </c>
      <c r="Q435">
        <v>4</v>
      </c>
      <c r="R435">
        <v>62784</v>
      </c>
      <c r="S435">
        <f t="shared" si="39"/>
        <v>0.125</v>
      </c>
      <c r="T435">
        <v>11</v>
      </c>
      <c r="U435">
        <v>4.68</v>
      </c>
      <c r="V435">
        <v>350407</v>
      </c>
      <c r="W435">
        <v>8978314</v>
      </c>
      <c r="X435">
        <f t="shared" si="40"/>
        <v>25.622530371824762</v>
      </c>
      <c r="Y435" t="str">
        <f t="shared" si="41"/>
        <v>Weak Product</v>
      </c>
    </row>
    <row r="436" spans="1:25" x14ac:dyDescent="0.3">
      <c r="A436" t="s">
        <v>906</v>
      </c>
      <c r="B436" t="s">
        <v>907</v>
      </c>
      <c r="C436" t="s">
        <v>819</v>
      </c>
      <c r="D436" s="1">
        <v>44848</v>
      </c>
      <c r="E436">
        <v>899</v>
      </c>
      <c r="F436" t="s">
        <v>28</v>
      </c>
      <c r="G436">
        <v>11132</v>
      </c>
      <c r="H436">
        <v>8844</v>
      </c>
      <c r="I436">
        <v>52</v>
      </c>
      <c r="J436">
        <v>79</v>
      </c>
      <c r="K436">
        <v>879428</v>
      </c>
      <c r="L436">
        <v>137389</v>
      </c>
      <c r="M436">
        <v>742039</v>
      </c>
      <c r="N436">
        <f t="shared" si="36"/>
        <v>698676</v>
      </c>
      <c r="O436">
        <f t="shared" si="37"/>
        <v>43363</v>
      </c>
      <c r="P436">
        <f t="shared" si="38"/>
        <v>5.8437629289026585E-2</v>
      </c>
      <c r="Q436">
        <v>2</v>
      </c>
      <c r="R436">
        <v>20036</v>
      </c>
      <c r="S436">
        <f t="shared" si="39"/>
        <v>3.8461538461538464E-2</v>
      </c>
      <c r="T436">
        <v>19</v>
      </c>
      <c r="U436">
        <v>3.13</v>
      </c>
      <c r="V436">
        <v>489016</v>
      </c>
      <c r="W436">
        <v>8400959</v>
      </c>
      <c r="X436">
        <f t="shared" si="40"/>
        <v>17.179313151307934</v>
      </c>
      <c r="Y436" t="str">
        <f t="shared" si="41"/>
        <v>Weak Product</v>
      </c>
    </row>
    <row r="437" spans="1:25" x14ac:dyDescent="0.3">
      <c r="A437" t="s">
        <v>908</v>
      </c>
      <c r="B437" t="s">
        <v>909</v>
      </c>
      <c r="C437" t="s">
        <v>819</v>
      </c>
      <c r="D437" s="1">
        <v>45575</v>
      </c>
      <c r="E437">
        <v>172</v>
      </c>
      <c r="F437" t="s">
        <v>28</v>
      </c>
      <c r="G437">
        <v>17066</v>
      </c>
      <c r="H437">
        <v>14783</v>
      </c>
      <c r="I437">
        <v>25</v>
      </c>
      <c r="J437">
        <v>35</v>
      </c>
      <c r="K437">
        <v>597310</v>
      </c>
      <c r="L437">
        <v>68462</v>
      </c>
      <c r="M437">
        <v>528848</v>
      </c>
      <c r="N437">
        <f t="shared" si="36"/>
        <v>517405</v>
      </c>
      <c r="O437">
        <f t="shared" si="37"/>
        <v>11443</v>
      </c>
      <c r="P437">
        <f t="shared" si="38"/>
        <v>2.1637597192387982E-2</v>
      </c>
      <c r="Q437">
        <v>2</v>
      </c>
      <c r="R437">
        <v>30718</v>
      </c>
      <c r="S437">
        <f t="shared" si="39"/>
        <v>0.08</v>
      </c>
      <c r="T437">
        <v>16</v>
      </c>
      <c r="U437">
        <v>3.09</v>
      </c>
      <c r="V437">
        <v>50460</v>
      </c>
      <c r="W437">
        <v>2925915</v>
      </c>
      <c r="X437">
        <f t="shared" si="40"/>
        <v>57.98483947681332</v>
      </c>
      <c r="Y437" t="str">
        <f t="shared" si="41"/>
        <v>Weak Product</v>
      </c>
    </row>
    <row r="438" spans="1:25" x14ac:dyDescent="0.3">
      <c r="A438" t="s">
        <v>910</v>
      </c>
      <c r="B438" t="s">
        <v>911</v>
      </c>
      <c r="C438" t="s">
        <v>819</v>
      </c>
      <c r="D438" s="1">
        <v>44875</v>
      </c>
      <c r="E438">
        <v>872</v>
      </c>
      <c r="F438" t="s">
        <v>28</v>
      </c>
      <c r="G438">
        <v>3569</v>
      </c>
      <c r="H438">
        <v>1906</v>
      </c>
      <c r="I438">
        <v>193</v>
      </c>
      <c r="J438">
        <v>287</v>
      </c>
      <c r="K438">
        <v>1024303</v>
      </c>
      <c r="L438">
        <v>140981</v>
      </c>
      <c r="M438">
        <v>883322</v>
      </c>
      <c r="N438">
        <f t="shared" si="36"/>
        <v>547022</v>
      </c>
      <c r="O438">
        <f t="shared" si="37"/>
        <v>336300</v>
      </c>
      <c r="P438">
        <f t="shared" si="38"/>
        <v>0.38072186586544882</v>
      </c>
      <c r="Q438">
        <v>10</v>
      </c>
      <c r="R438">
        <v>32120</v>
      </c>
      <c r="S438">
        <f t="shared" si="39"/>
        <v>5.181347150259067E-2</v>
      </c>
      <c r="T438">
        <v>77</v>
      </c>
      <c r="U438">
        <v>4.28</v>
      </c>
      <c r="V438">
        <v>68401</v>
      </c>
      <c r="W438">
        <v>508199</v>
      </c>
      <c r="X438">
        <f t="shared" si="40"/>
        <v>7.4297013201561377</v>
      </c>
      <c r="Y438" t="str">
        <f t="shared" si="41"/>
        <v>Hidden Opportunity</v>
      </c>
    </row>
    <row r="439" spans="1:25" x14ac:dyDescent="0.3">
      <c r="A439" t="s">
        <v>912</v>
      </c>
      <c r="B439" t="s">
        <v>913</v>
      </c>
      <c r="C439" t="s">
        <v>819</v>
      </c>
      <c r="D439" s="1">
        <v>44976</v>
      </c>
      <c r="E439">
        <v>771</v>
      </c>
      <c r="F439" t="s">
        <v>28</v>
      </c>
      <c r="G439">
        <v>1802</v>
      </c>
      <c r="H439">
        <v>1613</v>
      </c>
      <c r="I439">
        <v>280</v>
      </c>
      <c r="J439">
        <v>429</v>
      </c>
      <c r="K439">
        <v>773058</v>
      </c>
      <c r="L439">
        <v>82885</v>
      </c>
      <c r="M439">
        <v>690173</v>
      </c>
      <c r="N439">
        <f t="shared" si="36"/>
        <v>691977</v>
      </c>
      <c r="O439">
        <f t="shared" si="37"/>
        <v>-1804</v>
      </c>
      <c r="P439">
        <f t="shared" si="38"/>
        <v>-2.6138374001880688E-3</v>
      </c>
      <c r="Q439">
        <v>4</v>
      </c>
      <c r="R439">
        <v>6484</v>
      </c>
      <c r="S439">
        <f t="shared" si="39"/>
        <v>1.4285714285714285E-2</v>
      </c>
      <c r="T439">
        <v>112</v>
      </c>
      <c r="U439">
        <v>2.94</v>
      </c>
      <c r="V439">
        <v>431227</v>
      </c>
      <c r="W439">
        <v>1279132</v>
      </c>
      <c r="X439">
        <f t="shared" si="40"/>
        <v>2.9662613890132112</v>
      </c>
      <c r="Y439" t="str">
        <f t="shared" si="41"/>
        <v>Weak Product</v>
      </c>
    </row>
    <row r="440" spans="1:25" x14ac:dyDescent="0.3">
      <c r="A440" t="s">
        <v>914</v>
      </c>
      <c r="B440" t="s">
        <v>915</v>
      </c>
      <c r="C440" t="s">
        <v>819</v>
      </c>
      <c r="D440" s="1">
        <v>45185</v>
      </c>
      <c r="E440">
        <v>562</v>
      </c>
      <c r="F440" t="s">
        <v>28</v>
      </c>
      <c r="G440">
        <v>3344</v>
      </c>
      <c r="H440">
        <v>2448</v>
      </c>
      <c r="I440">
        <v>194</v>
      </c>
      <c r="J440">
        <v>304</v>
      </c>
      <c r="K440">
        <v>1016576</v>
      </c>
      <c r="L440">
        <v>138387</v>
      </c>
      <c r="M440">
        <v>878189</v>
      </c>
      <c r="N440">
        <f t="shared" si="36"/>
        <v>744192</v>
      </c>
      <c r="O440">
        <f t="shared" si="37"/>
        <v>133997</v>
      </c>
      <c r="P440">
        <f t="shared" si="38"/>
        <v>0.15258332773469035</v>
      </c>
      <c r="Q440">
        <v>7</v>
      </c>
      <c r="R440">
        <v>21063</v>
      </c>
      <c r="S440">
        <f t="shared" si="39"/>
        <v>3.608247422680412E-2</v>
      </c>
      <c r="T440">
        <v>74</v>
      </c>
      <c r="U440">
        <v>3.53</v>
      </c>
      <c r="V440">
        <v>285775</v>
      </c>
      <c r="W440">
        <v>905600</v>
      </c>
      <c r="X440">
        <f t="shared" si="40"/>
        <v>3.1689266030968417</v>
      </c>
      <c r="Y440" t="str">
        <f t="shared" si="41"/>
        <v>Weak Product</v>
      </c>
    </row>
    <row r="441" spans="1:25" x14ac:dyDescent="0.3">
      <c r="A441" t="s">
        <v>916</v>
      </c>
      <c r="B441" t="s">
        <v>917</v>
      </c>
      <c r="C441" t="s">
        <v>819</v>
      </c>
      <c r="D441" s="1">
        <v>45651</v>
      </c>
      <c r="E441">
        <v>96</v>
      </c>
      <c r="F441" t="s">
        <v>28</v>
      </c>
      <c r="G441">
        <v>14118</v>
      </c>
      <c r="H441">
        <v>8584</v>
      </c>
      <c r="I441">
        <v>78</v>
      </c>
      <c r="J441">
        <v>126</v>
      </c>
      <c r="K441">
        <v>1778868</v>
      </c>
      <c r="L441">
        <v>214409</v>
      </c>
      <c r="M441">
        <v>1564459</v>
      </c>
      <c r="N441">
        <f t="shared" si="36"/>
        <v>1081584</v>
      </c>
      <c r="O441">
        <f t="shared" si="37"/>
        <v>482875</v>
      </c>
      <c r="P441">
        <f t="shared" si="38"/>
        <v>0.30865302318565074</v>
      </c>
      <c r="Q441">
        <v>6</v>
      </c>
      <c r="R441">
        <v>76236</v>
      </c>
      <c r="S441">
        <f t="shared" si="39"/>
        <v>7.6923076923076927E-2</v>
      </c>
      <c r="T441">
        <v>30</v>
      </c>
      <c r="U441">
        <v>4.1500000000000004</v>
      </c>
      <c r="V441">
        <v>135838</v>
      </c>
      <c r="W441">
        <v>1577718</v>
      </c>
      <c r="X441">
        <f t="shared" si="40"/>
        <v>11.614702807756299</v>
      </c>
      <c r="Y441" t="str">
        <f t="shared" si="41"/>
        <v>Weak Product</v>
      </c>
    </row>
    <row r="442" spans="1:25" x14ac:dyDescent="0.3">
      <c r="A442" t="s">
        <v>918</v>
      </c>
      <c r="B442" t="s">
        <v>919</v>
      </c>
      <c r="C442" t="s">
        <v>819</v>
      </c>
      <c r="D442" s="1">
        <v>45529</v>
      </c>
      <c r="E442">
        <v>218</v>
      </c>
      <c r="F442" t="s">
        <v>28</v>
      </c>
      <c r="G442">
        <v>16115</v>
      </c>
      <c r="H442">
        <v>8685</v>
      </c>
      <c r="I442">
        <v>63</v>
      </c>
      <c r="J442">
        <v>98</v>
      </c>
      <c r="K442">
        <v>1579270</v>
      </c>
      <c r="L442">
        <v>152050</v>
      </c>
      <c r="M442">
        <v>1427220</v>
      </c>
      <c r="N442">
        <f t="shared" si="36"/>
        <v>851130</v>
      </c>
      <c r="O442">
        <f t="shared" si="37"/>
        <v>576090</v>
      </c>
      <c r="P442">
        <f t="shared" si="38"/>
        <v>0.40364484802623279</v>
      </c>
      <c r="Q442">
        <v>3</v>
      </c>
      <c r="R442">
        <v>43509</v>
      </c>
      <c r="S442">
        <f t="shared" si="39"/>
        <v>4.7619047619047616E-2</v>
      </c>
      <c r="T442">
        <v>30</v>
      </c>
      <c r="U442">
        <v>4.13</v>
      </c>
      <c r="V442">
        <v>291220</v>
      </c>
      <c r="W442">
        <v>7018696</v>
      </c>
      <c r="X442">
        <f t="shared" si="40"/>
        <v>24.10100954604766</v>
      </c>
      <c r="Y442" t="str">
        <f t="shared" si="41"/>
        <v>Star</v>
      </c>
    </row>
    <row r="443" spans="1:25" x14ac:dyDescent="0.3">
      <c r="A443" t="s">
        <v>920</v>
      </c>
      <c r="B443" t="s">
        <v>921</v>
      </c>
      <c r="C443" t="s">
        <v>819</v>
      </c>
      <c r="D443" s="1">
        <v>44950</v>
      </c>
      <c r="E443">
        <v>797</v>
      </c>
      <c r="F443" t="s">
        <v>28</v>
      </c>
      <c r="G443">
        <v>16128</v>
      </c>
      <c r="H443">
        <v>7835</v>
      </c>
      <c r="I443">
        <v>43</v>
      </c>
      <c r="J443">
        <v>66</v>
      </c>
      <c r="K443">
        <v>1064448</v>
      </c>
      <c r="L443">
        <v>172608</v>
      </c>
      <c r="M443">
        <v>891840</v>
      </c>
      <c r="N443">
        <f t="shared" si="36"/>
        <v>517110</v>
      </c>
      <c r="O443">
        <f t="shared" si="37"/>
        <v>374730</v>
      </c>
      <c r="P443">
        <f t="shared" si="38"/>
        <v>0.42017626480086112</v>
      </c>
      <c r="Q443">
        <v>5</v>
      </c>
      <c r="R443">
        <v>72575</v>
      </c>
      <c r="S443">
        <f t="shared" si="39"/>
        <v>0.11627906976744186</v>
      </c>
      <c r="T443">
        <v>15</v>
      </c>
      <c r="U443">
        <v>4.43</v>
      </c>
      <c r="V443">
        <v>542865</v>
      </c>
      <c r="W443">
        <v>10906946</v>
      </c>
      <c r="X443">
        <f t="shared" si="40"/>
        <v>20.091451834249767</v>
      </c>
      <c r="Y443" t="str">
        <f t="shared" si="41"/>
        <v>Weak Product</v>
      </c>
    </row>
    <row r="444" spans="1:25" x14ac:dyDescent="0.3">
      <c r="A444" t="s">
        <v>922</v>
      </c>
      <c r="B444" t="s">
        <v>923</v>
      </c>
      <c r="C444" t="s">
        <v>819</v>
      </c>
      <c r="D444" s="1">
        <v>45064</v>
      </c>
      <c r="E444">
        <v>683</v>
      </c>
      <c r="F444" t="s">
        <v>28</v>
      </c>
      <c r="G444">
        <v>19194</v>
      </c>
      <c r="H444">
        <v>11023</v>
      </c>
      <c r="I444">
        <v>38</v>
      </c>
      <c r="J444">
        <v>58</v>
      </c>
      <c r="K444">
        <v>1113252</v>
      </c>
      <c r="L444">
        <v>123561</v>
      </c>
      <c r="M444">
        <v>989691</v>
      </c>
      <c r="N444">
        <f t="shared" si="36"/>
        <v>639334</v>
      </c>
      <c r="O444">
        <f t="shared" si="37"/>
        <v>350357</v>
      </c>
      <c r="P444">
        <f t="shared" si="38"/>
        <v>0.35400645251901858</v>
      </c>
      <c r="Q444">
        <v>3</v>
      </c>
      <c r="R444">
        <v>51822</v>
      </c>
      <c r="S444">
        <f t="shared" si="39"/>
        <v>7.8947368421052627E-2</v>
      </c>
      <c r="T444">
        <v>17</v>
      </c>
      <c r="U444">
        <v>4.21</v>
      </c>
      <c r="V444">
        <v>144256</v>
      </c>
      <c r="W444">
        <v>3008336</v>
      </c>
      <c r="X444">
        <f t="shared" si="40"/>
        <v>20.854148181011535</v>
      </c>
      <c r="Y444" t="str">
        <f t="shared" si="41"/>
        <v>Weak Product</v>
      </c>
    </row>
    <row r="445" spans="1:25" x14ac:dyDescent="0.3">
      <c r="A445" t="s">
        <v>924</v>
      </c>
      <c r="B445" t="s">
        <v>925</v>
      </c>
      <c r="C445" t="s">
        <v>819</v>
      </c>
      <c r="D445" s="1">
        <v>45579</v>
      </c>
      <c r="E445">
        <v>168</v>
      </c>
      <c r="F445" t="s">
        <v>28</v>
      </c>
      <c r="G445">
        <v>3419</v>
      </c>
      <c r="H445">
        <v>2411</v>
      </c>
      <c r="I445">
        <v>119</v>
      </c>
      <c r="J445">
        <v>179</v>
      </c>
      <c r="K445">
        <v>612001</v>
      </c>
      <c r="L445">
        <v>66070</v>
      </c>
      <c r="M445">
        <v>545931</v>
      </c>
      <c r="N445">
        <f t="shared" si="36"/>
        <v>431569</v>
      </c>
      <c r="O445">
        <f t="shared" si="37"/>
        <v>114362</v>
      </c>
      <c r="P445">
        <f t="shared" si="38"/>
        <v>0.20948068528806754</v>
      </c>
      <c r="Q445">
        <v>9</v>
      </c>
      <c r="R445">
        <v>27693</v>
      </c>
      <c r="S445">
        <f t="shared" si="39"/>
        <v>7.5630252100840331E-2</v>
      </c>
      <c r="T445">
        <v>43</v>
      </c>
      <c r="U445">
        <v>3.67</v>
      </c>
      <c r="V445">
        <v>506203</v>
      </c>
      <c r="W445">
        <v>1868063</v>
      </c>
      <c r="X445">
        <f t="shared" si="40"/>
        <v>3.6903435973315055</v>
      </c>
      <c r="Y445" t="str">
        <f t="shared" si="41"/>
        <v>Weak Product</v>
      </c>
    </row>
    <row r="446" spans="1:25" x14ac:dyDescent="0.3">
      <c r="A446" t="s">
        <v>926</v>
      </c>
      <c r="B446" t="s">
        <v>927</v>
      </c>
      <c r="C446" t="s">
        <v>819</v>
      </c>
      <c r="D446" s="1">
        <v>44995</v>
      </c>
      <c r="E446">
        <v>752</v>
      </c>
      <c r="F446" t="s">
        <v>28</v>
      </c>
      <c r="G446">
        <v>2087</v>
      </c>
      <c r="H446">
        <v>1867</v>
      </c>
      <c r="I446">
        <v>146</v>
      </c>
      <c r="J446">
        <v>219</v>
      </c>
      <c r="K446">
        <v>457053</v>
      </c>
      <c r="L446">
        <v>66653</v>
      </c>
      <c r="M446">
        <v>390400</v>
      </c>
      <c r="N446">
        <f t="shared" si="36"/>
        <v>408873</v>
      </c>
      <c r="O446">
        <f t="shared" si="37"/>
        <v>-18473</v>
      </c>
      <c r="P446">
        <f t="shared" si="38"/>
        <v>-4.7318135245901637E-2</v>
      </c>
      <c r="Q446">
        <v>15</v>
      </c>
      <c r="R446">
        <v>28170</v>
      </c>
      <c r="S446">
        <f t="shared" si="39"/>
        <v>0.10273972602739725</v>
      </c>
      <c r="T446">
        <v>63</v>
      </c>
      <c r="U446">
        <v>2.87</v>
      </c>
      <c r="V446">
        <v>357116</v>
      </c>
      <c r="W446">
        <v>1149467</v>
      </c>
      <c r="X446">
        <f t="shared" si="40"/>
        <v>3.2187496499736779</v>
      </c>
      <c r="Y446" t="str">
        <f t="shared" si="41"/>
        <v>Weak Product</v>
      </c>
    </row>
    <row r="447" spans="1:25" x14ac:dyDescent="0.3">
      <c r="A447" t="s">
        <v>928</v>
      </c>
      <c r="B447" t="s">
        <v>929</v>
      </c>
      <c r="C447" t="s">
        <v>819</v>
      </c>
      <c r="D447" s="1">
        <v>45119</v>
      </c>
      <c r="E447">
        <v>628</v>
      </c>
      <c r="F447" t="s">
        <v>28</v>
      </c>
      <c r="G447">
        <v>10805</v>
      </c>
      <c r="H447">
        <v>8553</v>
      </c>
      <c r="I447">
        <v>30</v>
      </c>
      <c r="J447">
        <v>41</v>
      </c>
      <c r="K447">
        <v>443005</v>
      </c>
      <c r="L447">
        <v>90954</v>
      </c>
      <c r="M447">
        <v>352051</v>
      </c>
      <c r="N447">
        <f t="shared" si="36"/>
        <v>350673</v>
      </c>
      <c r="O447">
        <f t="shared" si="37"/>
        <v>1378</v>
      </c>
      <c r="P447">
        <f t="shared" si="38"/>
        <v>3.9142056122550423E-3</v>
      </c>
      <c r="Q447">
        <v>0</v>
      </c>
      <c r="R447">
        <v>0</v>
      </c>
      <c r="S447">
        <f t="shared" si="39"/>
        <v>0</v>
      </c>
      <c r="T447">
        <v>15</v>
      </c>
      <c r="U447">
        <v>3.43</v>
      </c>
      <c r="V447">
        <v>565876</v>
      </c>
      <c r="W447">
        <v>5001847</v>
      </c>
      <c r="X447">
        <f t="shared" si="40"/>
        <v>8.8391219984590261</v>
      </c>
      <c r="Y447" t="str">
        <f t="shared" si="41"/>
        <v>Weak Product</v>
      </c>
    </row>
    <row r="448" spans="1:25" x14ac:dyDescent="0.3">
      <c r="A448" t="s">
        <v>930</v>
      </c>
      <c r="B448" t="s">
        <v>931</v>
      </c>
      <c r="C448" t="s">
        <v>819</v>
      </c>
      <c r="D448" s="1">
        <v>45421</v>
      </c>
      <c r="E448">
        <v>326</v>
      </c>
      <c r="F448" t="s">
        <v>28</v>
      </c>
      <c r="G448">
        <v>15342</v>
      </c>
      <c r="H448">
        <v>10741</v>
      </c>
      <c r="I448">
        <v>39</v>
      </c>
      <c r="J448">
        <v>55</v>
      </c>
      <c r="K448">
        <v>843810</v>
      </c>
      <c r="L448">
        <v>147216</v>
      </c>
      <c r="M448">
        <v>696594</v>
      </c>
      <c r="N448">
        <f t="shared" si="36"/>
        <v>590755</v>
      </c>
      <c r="O448">
        <f t="shared" si="37"/>
        <v>105839</v>
      </c>
      <c r="P448">
        <f t="shared" si="38"/>
        <v>0.15193785763299714</v>
      </c>
      <c r="Q448">
        <v>6</v>
      </c>
      <c r="R448">
        <v>82842</v>
      </c>
      <c r="S448">
        <f t="shared" si="39"/>
        <v>0.15384615384615385</v>
      </c>
      <c r="T448">
        <v>21</v>
      </c>
      <c r="U448">
        <v>3.6</v>
      </c>
      <c r="V448">
        <v>605569</v>
      </c>
      <c r="W448">
        <v>9910209</v>
      </c>
      <c r="X448">
        <f t="shared" si="40"/>
        <v>16.365119416614789</v>
      </c>
      <c r="Y448" t="str">
        <f t="shared" si="41"/>
        <v>Weak Product</v>
      </c>
    </row>
    <row r="449" spans="1:25" x14ac:dyDescent="0.3">
      <c r="A449" t="s">
        <v>932</v>
      </c>
      <c r="B449" t="s">
        <v>933</v>
      </c>
      <c r="C449" t="s">
        <v>819</v>
      </c>
      <c r="D449" s="1">
        <v>44871</v>
      </c>
      <c r="E449">
        <v>876</v>
      </c>
      <c r="F449" t="s">
        <v>28</v>
      </c>
      <c r="G449">
        <v>3662</v>
      </c>
      <c r="H449">
        <v>2630</v>
      </c>
      <c r="I449">
        <v>136</v>
      </c>
      <c r="J449">
        <v>201</v>
      </c>
      <c r="K449">
        <v>736062</v>
      </c>
      <c r="L449">
        <v>148538</v>
      </c>
      <c r="M449">
        <v>587524</v>
      </c>
      <c r="N449">
        <f t="shared" si="36"/>
        <v>528630</v>
      </c>
      <c r="O449">
        <f t="shared" si="37"/>
        <v>58894</v>
      </c>
      <c r="P449">
        <f t="shared" si="38"/>
        <v>0.10024101143102239</v>
      </c>
      <c r="Q449">
        <v>7</v>
      </c>
      <c r="R449">
        <v>23065</v>
      </c>
      <c r="S449">
        <f t="shared" si="39"/>
        <v>5.1470588235294115E-2</v>
      </c>
      <c r="T449">
        <v>63</v>
      </c>
      <c r="U449">
        <v>3.7</v>
      </c>
      <c r="V449">
        <v>288271</v>
      </c>
      <c r="W449">
        <v>970238</v>
      </c>
      <c r="X449">
        <f t="shared" si="40"/>
        <v>3.3657149002154223</v>
      </c>
      <c r="Y449" t="str">
        <f t="shared" si="41"/>
        <v>Weak Product</v>
      </c>
    </row>
    <row r="450" spans="1:25" x14ac:dyDescent="0.3">
      <c r="A450" t="s">
        <v>934</v>
      </c>
      <c r="B450" t="s">
        <v>935</v>
      </c>
      <c r="C450" t="s">
        <v>819</v>
      </c>
      <c r="D450" s="1">
        <v>45505</v>
      </c>
      <c r="E450">
        <v>242</v>
      </c>
      <c r="F450" t="s">
        <v>28</v>
      </c>
      <c r="G450">
        <v>16956</v>
      </c>
      <c r="H450">
        <v>10969</v>
      </c>
      <c r="I450">
        <v>38</v>
      </c>
      <c r="J450">
        <v>56</v>
      </c>
      <c r="K450">
        <v>949536</v>
      </c>
      <c r="L450">
        <v>103051</v>
      </c>
      <c r="M450">
        <v>846485</v>
      </c>
      <c r="N450">
        <f t="shared" si="36"/>
        <v>614264</v>
      </c>
      <c r="O450">
        <f t="shared" si="37"/>
        <v>232221</v>
      </c>
      <c r="P450">
        <f t="shared" si="38"/>
        <v>0.27433563500829905</v>
      </c>
      <c r="Q450">
        <v>3</v>
      </c>
      <c r="R450">
        <v>45780</v>
      </c>
      <c r="S450">
        <f t="shared" si="39"/>
        <v>7.8947368421052627E-2</v>
      </c>
      <c r="T450">
        <v>18</v>
      </c>
      <c r="U450">
        <v>3.86</v>
      </c>
      <c r="V450">
        <v>58432</v>
      </c>
      <c r="W450">
        <v>1871714</v>
      </c>
      <c r="X450">
        <f t="shared" si="40"/>
        <v>32.032345290251918</v>
      </c>
      <c r="Y450" t="str">
        <f t="shared" si="41"/>
        <v>Weak Product</v>
      </c>
    </row>
    <row r="451" spans="1:25" x14ac:dyDescent="0.3">
      <c r="A451" t="s">
        <v>936</v>
      </c>
      <c r="B451" t="s">
        <v>937</v>
      </c>
      <c r="C451" t="s">
        <v>819</v>
      </c>
      <c r="D451" s="1">
        <v>45469</v>
      </c>
      <c r="E451">
        <v>278</v>
      </c>
      <c r="F451" t="s">
        <v>28</v>
      </c>
      <c r="G451">
        <v>11177</v>
      </c>
      <c r="H451">
        <v>7241</v>
      </c>
      <c r="I451">
        <v>111</v>
      </c>
      <c r="J451">
        <v>163</v>
      </c>
      <c r="K451">
        <v>1821851</v>
      </c>
      <c r="L451">
        <v>209771</v>
      </c>
      <c r="M451">
        <v>1612080</v>
      </c>
      <c r="N451">
        <f t="shared" ref="N451:N501" si="42">J451*H451</f>
        <v>1180283</v>
      </c>
      <c r="O451">
        <f t="shared" ref="O451:O501" si="43">M451-N451</f>
        <v>431797</v>
      </c>
      <c r="P451">
        <f t="shared" ref="P451:P501" si="44">IF(M451&gt;0, (M451-N451)/M451, 0)</f>
        <v>0.26785085107438839</v>
      </c>
      <c r="Q451">
        <v>8</v>
      </c>
      <c r="R451">
        <v>80472</v>
      </c>
      <c r="S451">
        <f t="shared" ref="S451:S501" si="45">IF(I451&gt;0, Q451/I451, 0)</f>
        <v>7.2072072072072071E-2</v>
      </c>
      <c r="T451">
        <v>36</v>
      </c>
      <c r="U451">
        <v>4.01</v>
      </c>
      <c r="V451">
        <v>126324</v>
      </c>
      <c r="W451">
        <v>1718701</v>
      </c>
      <c r="X451">
        <f t="shared" ref="X451:X501" si="46">IF(V451&gt;0, W451/V451, 0)</f>
        <v>13.605498559260315</v>
      </c>
      <c r="Y451" t="str">
        <f t="shared" ref="Y451:Y501" si="47">IF(E451&lt;=90, "Immature Product", IF(AND(O451&gt;0, U451&gt;=4, S451&lt;0.05), "Star", IF(AND(M451&gt;10000000, O451&lt;0), "Revenue Trap", IF(AND(O451&gt;0, U451&gt;=4, V451&lt;100000), "Hidden Opportunity", "Weak Product"))))</f>
        <v>Weak Product</v>
      </c>
    </row>
    <row r="452" spans="1:25" x14ac:dyDescent="0.3">
      <c r="A452" t="s">
        <v>938</v>
      </c>
      <c r="B452" t="s">
        <v>939</v>
      </c>
      <c r="C452" t="s">
        <v>940</v>
      </c>
      <c r="D452" s="1">
        <v>45483</v>
      </c>
      <c r="E452">
        <v>264</v>
      </c>
      <c r="F452" t="s">
        <v>28</v>
      </c>
      <c r="G452">
        <v>370</v>
      </c>
      <c r="H452">
        <v>276</v>
      </c>
      <c r="I452">
        <v>251</v>
      </c>
      <c r="J452">
        <v>382</v>
      </c>
      <c r="K452">
        <v>141340</v>
      </c>
      <c r="L452">
        <v>20910</v>
      </c>
      <c r="M452">
        <v>120430</v>
      </c>
      <c r="N452">
        <f t="shared" si="42"/>
        <v>105432</v>
      </c>
      <c r="O452">
        <f t="shared" si="43"/>
        <v>14998</v>
      </c>
      <c r="P452">
        <f t="shared" si="44"/>
        <v>0.12453707547953168</v>
      </c>
      <c r="Q452">
        <v>5</v>
      </c>
      <c r="R452">
        <v>1665</v>
      </c>
      <c r="S452">
        <f t="shared" si="45"/>
        <v>1.9920318725099601E-2</v>
      </c>
      <c r="T452">
        <v>103</v>
      </c>
      <c r="U452">
        <v>3.33</v>
      </c>
      <c r="V452">
        <v>178901</v>
      </c>
      <c r="W452">
        <v>16846</v>
      </c>
      <c r="X452">
        <f t="shared" si="46"/>
        <v>9.4163811269920239E-2</v>
      </c>
      <c r="Y452" t="str">
        <f t="shared" si="47"/>
        <v>Weak Product</v>
      </c>
    </row>
    <row r="453" spans="1:25" x14ac:dyDescent="0.3">
      <c r="A453" t="s">
        <v>941</v>
      </c>
      <c r="B453" t="s">
        <v>942</v>
      </c>
      <c r="C453" t="s">
        <v>940</v>
      </c>
      <c r="D453" s="1">
        <v>45569</v>
      </c>
      <c r="E453">
        <v>178</v>
      </c>
      <c r="F453" t="s">
        <v>28</v>
      </c>
      <c r="G453">
        <v>16434</v>
      </c>
      <c r="H453">
        <v>13751</v>
      </c>
      <c r="I453">
        <v>46</v>
      </c>
      <c r="J453">
        <v>71</v>
      </c>
      <c r="K453">
        <v>1166814</v>
      </c>
      <c r="L453">
        <v>168393</v>
      </c>
      <c r="M453">
        <v>998421</v>
      </c>
      <c r="N453">
        <f t="shared" si="42"/>
        <v>976321</v>
      </c>
      <c r="O453">
        <f t="shared" si="43"/>
        <v>22100</v>
      </c>
      <c r="P453">
        <f t="shared" si="44"/>
        <v>2.2134951087767585E-2</v>
      </c>
      <c r="Q453">
        <v>3</v>
      </c>
      <c r="R453">
        <v>44370</v>
      </c>
      <c r="S453">
        <f t="shared" si="45"/>
        <v>6.5217391304347824E-2</v>
      </c>
      <c r="T453">
        <v>14</v>
      </c>
      <c r="U453">
        <v>2.86</v>
      </c>
      <c r="V453">
        <v>311595</v>
      </c>
      <c r="W453">
        <v>6721888</v>
      </c>
      <c r="X453">
        <f t="shared" si="46"/>
        <v>21.572515605192638</v>
      </c>
      <c r="Y453" t="str">
        <f t="shared" si="47"/>
        <v>Weak Product</v>
      </c>
    </row>
    <row r="454" spans="1:25" x14ac:dyDescent="0.3">
      <c r="A454" t="s">
        <v>943</v>
      </c>
      <c r="B454" t="s">
        <v>944</v>
      </c>
      <c r="C454" t="s">
        <v>940</v>
      </c>
      <c r="D454" s="1">
        <v>45635</v>
      </c>
      <c r="E454">
        <v>112</v>
      </c>
      <c r="F454" t="s">
        <v>28</v>
      </c>
      <c r="G454">
        <v>7363</v>
      </c>
      <c r="H454">
        <v>5112</v>
      </c>
      <c r="I454">
        <v>40</v>
      </c>
      <c r="J454">
        <v>61</v>
      </c>
      <c r="K454">
        <v>449143</v>
      </c>
      <c r="L454">
        <v>39729</v>
      </c>
      <c r="M454">
        <v>409414</v>
      </c>
      <c r="N454">
        <f t="shared" si="42"/>
        <v>311832</v>
      </c>
      <c r="O454">
        <f t="shared" si="43"/>
        <v>97582</v>
      </c>
      <c r="P454">
        <f t="shared" si="44"/>
        <v>0.23834553776861564</v>
      </c>
      <c r="Q454">
        <v>0</v>
      </c>
      <c r="R454">
        <v>0</v>
      </c>
      <c r="S454">
        <f t="shared" si="45"/>
        <v>0</v>
      </c>
      <c r="T454">
        <v>17</v>
      </c>
      <c r="U454">
        <v>3.97</v>
      </c>
      <c r="V454">
        <v>497729</v>
      </c>
      <c r="W454">
        <v>4132062</v>
      </c>
      <c r="X454">
        <f t="shared" si="46"/>
        <v>8.301830916020565</v>
      </c>
      <c r="Y454" t="str">
        <f t="shared" si="47"/>
        <v>Weak Product</v>
      </c>
    </row>
    <row r="455" spans="1:25" x14ac:dyDescent="0.3">
      <c r="A455" t="s">
        <v>945</v>
      </c>
      <c r="B455" t="s">
        <v>946</v>
      </c>
      <c r="C455" t="s">
        <v>940</v>
      </c>
      <c r="D455" s="1">
        <v>45296</v>
      </c>
      <c r="E455">
        <v>451</v>
      </c>
      <c r="F455" t="s">
        <v>28</v>
      </c>
      <c r="G455">
        <v>4336</v>
      </c>
      <c r="H455">
        <v>2395</v>
      </c>
      <c r="I455">
        <v>178</v>
      </c>
      <c r="J455">
        <v>265</v>
      </c>
      <c r="K455">
        <v>1149040</v>
      </c>
      <c r="L455">
        <v>191968</v>
      </c>
      <c r="M455">
        <v>957072</v>
      </c>
      <c r="N455">
        <f t="shared" si="42"/>
        <v>634675</v>
      </c>
      <c r="O455">
        <f t="shared" si="43"/>
        <v>322397</v>
      </c>
      <c r="P455">
        <f t="shared" si="44"/>
        <v>0.33685762408679809</v>
      </c>
      <c r="Q455">
        <v>8</v>
      </c>
      <c r="R455">
        <v>31216</v>
      </c>
      <c r="S455">
        <f t="shared" si="45"/>
        <v>4.49438202247191E-2</v>
      </c>
      <c r="T455">
        <v>75</v>
      </c>
      <c r="U455">
        <v>4.08</v>
      </c>
      <c r="V455">
        <v>623332</v>
      </c>
      <c r="W455">
        <v>3263692</v>
      </c>
      <c r="X455">
        <f t="shared" si="46"/>
        <v>5.2358807184614298</v>
      </c>
      <c r="Y455" t="str">
        <f t="shared" si="47"/>
        <v>Star</v>
      </c>
    </row>
    <row r="456" spans="1:25" x14ac:dyDescent="0.3">
      <c r="A456" t="s">
        <v>947</v>
      </c>
      <c r="B456" t="s">
        <v>948</v>
      </c>
      <c r="C456" t="s">
        <v>940</v>
      </c>
      <c r="D456" s="1">
        <v>45434</v>
      </c>
      <c r="E456">
        <v>313</v>
      </c>
      <c r="F456" t="s">
        <v>28</v>
      </c>
      <c r="G456">
        <v>18427</v>
      </c>
      <c r="H456">
        <v>8828</v>
      </c>
      <c r="I456">
        <v>55</v>
      </c>
      <c r="J456">
        <v>79</v>
      </c>
      <c r="K456">
        <v>1455733</v>
      </c>
      <c r="L456">
        <v>213716</v>
      </c>
      <c r="M456">
        <v>1242017</v>
      </c>
      <c r="N456">
        <f t="shared" si="42"/>
        <v>697412</v>
      </c>
      <c r="O456">
        <f t="shared" si="43"/>
        <v>544605</v>
      </c>
      <c r="P456">
        <f t="shared" si="44"/>
        <v>0.43848433636576634</v>
      </c>
      <c r="Q456">
        <v>0</v>
      </c>
      <c r="R456">
        <v>0</v>
      </c>
      <c r="S456">
        <f t="shared" si="45"/>
        <v>0</v>
      </c>
      <c r="T456">
        <v>21</v>
      </c>
      <c r="U456">
        <v>4.76</v>
      </c>
      <c r="V456">
        <v>286874</v>
      </c>
      <c r="W456">
        <v>8406133</v>
      </c>
      <c r="X456">
        <f t="shared" si="46"/>
        <v>29.302526544754841</v>
      </c>
      <c r="Y456" t="str">
        <f t="shared" si="47"/>
        <v>Star</v>
      </c>
    </row>
    <row r="457" spans="1:25" x14ac:dyDescent="0.3">
      <c r="A457" t="s">
        <v>949</v>
      </c>
      <c r="B457" t="s">
        <v>950</v>
      </c>
      <c r="C457" t="s">
        <v>940</v>
      </c>
      <c r="D457" s="1">
        <v>45508</v>
      </c>
      <c r="E457">
        <v>239</v>
      </c>
      <c r="F457" t="s">
        <v>28</v>
      </c>
      <c r="G457">
        <v>4505</v>
      </c>
      <c r="H457">
        <v>3844</v>
      </c>
      <c r="I457">
        <v>116</v>
      </c>
      <c r="J457">
        <v>182</v>
      </c>
      <c r="K457">
        <v>819910</v>
      </c>
      <c r="L457">
        <v>138859</v>
      </c>
      <c r="M457">
        <v>681051</v>
      </c>
      <c r="N457">
        <f t="shared" si="42"/>
        <v>699608</v>
      </c>
      <c r="O457">
        <f t="shared" si="43"/>
        <v>-18557</v>
      </c>
      <c r="P457">
        <f t="shared" si="44"/>
        <v>-2.724759232421654E-2</v>
      </c>
      <c r="Q457">
        <v>6</v>
      </c>
      <c r="R457">
        <v>24324</v>
      </c>
      <c r="S457">
        <f t="shared" si="45"/>
        <v>5.1724137931034482E-2</v>
      </c>
      <c r="T457">
        <v>42</v>
      </c>
      <c r="U457">
        <v>3.33</v>
      </c>
      <c r="V457">
        <v>268952</v>
      </c>
      <c r="W457">
        <v>843674</v>
      </c>
      <c r="X457">
        <f t="shared" si="46"/>
        <v>3.1368943157143283</v>
      </c>
      <c r="Y457" t="str">
        <f t="shared" si="47"/>
        <v>Weak Product</v>
      </c>
    </row>
    <row r="458" spans="1:25" x14ac:dyDescent="0.3">
      <c r="A458" t="s">
        <v>951</v>
      </c>
      <c r="B458" t="s">
        <v>952</v>
      </c>
      <c r="C458" t="s">
        <v>940</v>
      </c>
      <c r="D458" s="1">
        <v>45186</v>
      </c>
      <c r="E458">
        <v>561</v>
      </c>
      <c r="F458" t="s">
        <v>28</v>
      </c>
      <c r="G458">
        <v>8433</v>
      </c>
      <c r="H458">
        <v>6551</v>
      </c>
      <c r="I458">
        <v>88</v>
      </c>
      <c r="J458">
        <v>135</v>
      </c>
      <c r="K458">
        <v>1138455</v>
      </c>
      <c r="L458">
        <v>103043</v>
      </c>
      <c r="M458">
        <v>1035412</v>
      </c>
      <c r="N458">
        <f t="shared" si="42"/>
        <v>884385</v>
      </c>
      <c r="O458">
        <f t="shared" si="43"/>
        <v>151027</v>
      </c>
      <c r="P458">
        <f t="shared" si="44"/>
        <v>0.14586174392415774</v>
      </c>
      <c r="Q458">
        <v>11</v>
      </c>
      <c r="R458">
        <v>83479</v>
      </c>
      <c r="S458">
        <f t="shared" si="45"/>
        <v>0.125</v>
      </c>
      <c r="T458">
        <v>44</v>
      </c>
      <c r="U458">
        <v>3.15</v>
      </c>
      <c r="V458">
        <v>364591</v>
      </c>
      <c r="W458">
        <v>6028547</v>
      </c>
      <c r="X458">
        <f t="shared" si="46"/>
        <v>16.5350954905634</v>
      </c>
      <c r="Y458" t="str">
        <f t="shared" si="47"/>
        <v>Weak Product</v>
      </c>
    </row>
    <row r="459" spans="1:25" x14ac:dyDescent="0.3">
      <c r="A459" t="s">
        <v>953</v>
      </c>
      <c r="B459" t="s">
        <v>954</v>
      </c>
      <c r="C459" t="s">
        <v>940</v>
      </c>
      <c r="D459" s="1">
        <v>45395</v>
      </c>
      <c r="E459">
        <v>352</v>
      </c>
      <c r="F459" t="s">
        <v>28</v>
      </c>
      <c r="G459">
        <v>10093</v>
      </c>
      <c r="H459">
        <v>5254</v>
      </c>
      <c r="I459">
        <v>86</v>
      </c>
      <c r="J459">
        <v>128</v>
      </c>
      <c r="K459">
        <v>1291904</v>
      </c>
      <c r="L459">
        <v>197420</v>
      </c>
      <c r="M459">
        <v>1094484</v>
      </c>
      <c r="N459">
        <f t="shared" si="42"/>
        <v>672512</v>
      </c>
      <c r="O459">
        <f t="shared" si="43"/>
        <v>421972</v>
      </c>
      <c r="P459">
        <f t="shared" si="44"/>
        <v>0.38554423819809153</v>
      </c>
      <c r="Q459">
        <v>2</v>
      </c>
      <c r="R459">
        <v>18166</v>
      </c>
      <c r="S459">
        <f t="shared" si="45"/>
        <v>2.3255813953488372E-2</v>
      </c>
      <c r="T459">
        <v>44</v>
      </c>
      <c r="U459">
        <v>4.4800000000000004</v>
      </c>
      <c r="V459">
        <v>614035</v>
      </c>
      <c r="W459">
        <v>7959280</v>
      </c>
      <c r="X459">
        <f t="shared" si="46"/>
        <v>12.962257851751122</v>
      </c>
      <c r="Y459" t="str">
        <f t="shared" si="47"/>
        <v>Star</v>
      </c>
    </row>
    <row r="460" spans="1:25" x14ac:dyDescent="0.3">
      <c r="A460" t="s">
        <v>955</v>
      </c>
      <c r="B460" t="s">
        <v>956</v>
      </c>
      <c r="C460" t="s">
        <v>940</v>
      </c>
      <c r="D460" s="1">
        <v>45523</v>
      </c>
      <c r="E460">
        <v>224</v>
      </c>
      <c r="F460" t="s">
        <v>28</v>
      </c>
      <c r="G460">
        <v>9820</v>
      </c>
      <c r="H460">
        <v>5803</v>
      </c>
      <c r="I460">
        <v>37</v>
      </c>
      <c r="J460">
        <v>55</v>
      </c>
      <c r="K460">
        <v>540100</v>
      </c>
      <c r="L460">
        <v>64856</v>
      </c>
      <c r="M460">
        <v>475244</v>
      </c>
      <c r="N460">
        <f t="shared" si="42"/>
        <v>319165</v>
      </c>
      <c r="O460">
        <f t="shared" si="43"/>
        <v>156079</v>
      </c>
      <c r="P460">
        <f t="shared" si="44"/>
        <v>0.32841866493843164</v>
      </c>
      <c r="Q460">
        <v>1</v>
      </c>
      <c r="R460">
        <v>8838</v>
      </c>
      <c r="S460">
        <f t="shared" si="45"/>
        <v>2.7027027027027029E-2</v>
      </c>
      <c r="T460">
        <v>17</v>
      </c>
      <c r="U460">
        <v>4.03</v>
      </c>
      <c r="V460">
        <v>650052</v>
      </c>
      <c r="W460">
        <v>6349274</v>
      </c>
      <c r="X460">
        <f t="shared" si="46"/>
        <v>9.7673324595570818</v>
      </c>
      <c r="Y460" t="str">
        <f t="shared" si="47"/>
        <v>Star</v>
      </c>
    </row>
    <row r="461" spans="1:25" x14ac:dyDescent="0.3">
      <c r="A461" t="s">
        <v>957</v>
      </c>
      <c r="B461" t="s">
        <v>958</v>
      </c>
      <c r="C461" t="s">
        <v>940</v>
      </c>
      <c r="D461" s="1">
        <v>45410</v>
      </c>
      <c r="E461">
        <v>337</v>
      </c>
      <c r="F461" t="s">
        <v>28</v>
      </c>
      <c r="G461">
        <v>4080</v>
      </c>
      <c r="H461">
        <v>2275</v>
      </c>
      <c r="I461">
        <v>47</v>
      </c>
      <c r="J461">
        <v>68</v>
      </c>
      <c r="K461">
        <v>277440</v>
      </c>
      <c r="L461">
        <v>36507</v>
      </c>
      <c r="M461">
        <v>240933</v>
      </c>
      <c r="N461">
        <f t="shared" si="42"/>
        <v>154700</v>
      </c>
      <c r="O461">
        <f t="shared" si="43"/>
        <v>86233</v>
      </c>
      <c r="P461">
        <f t="shared" si="44"/>
        <v>0.35791278073157268</v>
      </c>
      <c r="Q461">
        <v>9</v>
      </c>
      <c r="R461">
        <v>33048</v>
      </c>
      <c r="S461">
        <f t="shared" si="45"/>
        <v>0.19148936170212766</v>
      </c>
      <c r="T461">
        <v>21</v>
      </c>
      <c r="U461">
        <v>4.12</v>
      </c>
      <c r="V461">
        <v>193914</v>
      </c>
      <c r="W461">
        <v>1820756</v>
      </c>
      <c r="X461">
        <f t="shared" si="46"/>
        <v>9.3895025629918418</v>
      </c>
      <c r="Y461" t="str">
        <f t="shared" si="47"/>
        <v>Weak Product</v>
      </c>
    </row>
    <row r="462" spans="1:25" x14ac:dyDescent="0.3">
      <c r="A462" t="s">
        <v>959</v>
      </c>
      <c r="B462" t="s">
        <v>960</v>
      </c>
      <c r="C462" t="s">
        <v>940</v>
      </c>
      <c r="D462" s="1">
        <v>45267</v>
      </c>
      <c r="E462">
        <v>480</v>
      </c>
      <c r="F462" t="s">
        <v>28</v>
      </c>
      <c r="G462">
        <v>9668</v>
      </c>
      <c r="H462">
        <v>4883</v>
      </c>
      <c r="I462">
        <v>64</v>
      </c>
      <c r="J462">
        <v>98</v>
      </c>
      <c r="K462">
        <v>947464</v>
      </c>
      <c r="L462">
        <v>147217</v>
      </c>
      <c r="M462">
        <v>800247</v>
      </c>
      <c r="N462">
        <f t="shared" si="42"/>
        <v>478534</v>
      </c>
      <c r="O462">
        <f t="shared" si="43"/>
        <v>321713</v>
      </c>
      <c r="P462">
        <f t="shared" si="44"/>
        <v>0.4020171272119733</v>
      </c>
      <c r="Q462">
        <v>10</v>
      </c>
      <c r="R462">
        <v>87010</v>
      </c>
      <c r="S462">
        <f t="shared" si="45"/>
        <v>0.15625</v>
      </c>
      <c r="T462">
        <v>20</v>
      </c>
      <c r="U462">
        <v>4.55</v>
      </c>
      <c r="V462">
        <v>624246</v>
      </c>
      <c r="W462">
        <v>5322028</v>
      </c>
      <c r="X462">
        <f t="shared" si="46"/>
        <v>8.5255299993912654</v>
      </c>
      <c r="Y462" t="str">
        <f t="shared" si="47"/>
        <v>Weak Product</v>
      </c>
    </row>
    <row r="463" spans="1:25" x14ac:dyDescent="0.3">
      <c r="A463" t="s">
        <v>961</v>
      </c>
      <c r="B463" t="s">
        <v>962</v>
      </c>
      <c r="C463" t="s">
        <v>940</v>
      </c>
      <c r="D463" s="1">
        <v>44999</v>
      </c>
      <c r="E463">
        <v>748</v>
      </c>
      <c r="F463" t="s">
        <v>28</v>
      </c>
      <c r="G463">
        <v>9047</v>
      </c>
      <c r="H463">
        <v>5088</v>
      </c>
      <c r="I463">
        <v>84</v>
      </c>
      <c r="J463">
        <v>125</v>
      </c>
      <c r="K463">
        <v>1130875</v>
      </c>
      <c r="L463">
        <v>103901</v>
      </c>
      <c r="M463">
        <v>1026974</v>
      </c>
      <c r="N463">
        <f t="shared" si="42"/>
        <v>636000</v>
      </c>
      <c r="O463">
        <f t="shared" si="43"/>
        <v>390974</v>
      </c>
      <c r="P463">
        <f t="shared" si="44"/>
        <v>0.38070486691970779</v>
      </c>
      <c r="Q463">
        <v>7</v>
      </c>
      <c r="R463">
        <v>56994</v>
      </c>
      <c r="S463">
        <f t="shared" si="45"/>
        <v>8.3333333333333329E-2</v>
      </c>
      <c r="T463">
        <v>31</v>
      </c>
      <c r="U463">
        <v>4</v>
      </c>
      <c r="V463">
        <v>74968</v>
      </c>
      <c r="W463">
        <v>902600</v>
      </c>
      <c r="X463">
        <f t="shared" si="46"/>
        <v>12.039803649557145</v>
      </c>
      <c r="Y463" t="str">
        <f t="shared" si="47"/>
        <v>Hidden Opportunity</v>
      </c>
    </row>
    <row r="464" spans="1:25" x14ac:dyDescent="0.3">
      <c r="A464" t="s">
        <v>963</v>
      </c>
      <c r="B464" t="s">
        <v>964</v>
      </c>
      <c r="C464" t="s">
        <v>940</v>
      </c>
      <c r="D464" s="1">
        <v>44868</v>
      </c>
      <c r="E464">
        <v>879</v>
      </c>
      <c r="F464" t="s">
        <v>28</v>
      </c>
      <c r="G464">
        <v>6983</v>
      </c>
      <c r="H464">
        <v>3916</v>
      </c>
      <c r="I464">
        <v>141</v>
      </c>
      <c r="J464">
        <v>205</v>
      </c>
      <c r="K464">
        <v>1431515</v>
      </c>
      <c r="L464">
        <v>194573</v>
      </c>
      <c r="M464">
        <v>1236942</v>
      </c>
      <c r="N464">
        <f t="shared" si="42"/>
        <v>802780</v>
      </c>
      <c r="O464">
        <f t="shared" si="43"/>
        <v>434162</v>
      </c>
      <c r="P464">
        <f t="shared" si="44"/>
        <v>0.35099624719671579</v>
      </c>
      <c r="Q464">
        <v>19</v>
      </c>
      <c r="R464">
        <v>119396</v>
      </c>
      <c r="S464">
        <f t="shared" si="45"/>
        <v>0.13475177304964539</v>
      </c>
      <c r="T464">
        <v>56</v>
      </c>
      <c r="U464">
        <v>4.17</v>
      </c>
      <c r="V464">
        <v>777043</v>
      </c>
      <c r="W464">
        <v>6545113</v>
      </c>
      <c r="X464">
        <f t="shared" si="46"/>
        <v>8.4231027111755719</v>
      </c>
      <c r="Y464" t="str">
        <f t="shared" si="47"/>
        <v>Weak Product</v>
      </c>
    </row>
    <row r="465" spans="1:25" x14ac:dyDescent="0.3">
      <c r="A465" t="s">
        <v>965</v>
      </c>
      <c r="B465" t="s">
        <v>966</v>
      </c>
      <c r="C465" t="s">
        <v>940</v>
      </c>
      <c r="D465" s="1">
        <v>45358</v>
      </c>
      <c r="E465">
        <v>389</v>
      </c>
      <c r="F465" t="s">
        <v>28</v>
      </c>
      <c r="G465">
        <v>18690</v>
      </c>
      <c r="H465">
        <v>13550</v>
      </c>
      <c r="I465">
        <v>26</v>
      </c>
      <c r="J465">
        <v>40</v>
      </c>
      <c r="K465">
        <v>747600</v>
      </c>
      <c r="L465">
        <v>101003</v>
      </c>
      <c r="M465">
        <v>646597</v>
      </c>
      <c r="N465">
        <f t="shared" si="42"/>
        <v>542000</v>
      </c>
      <c r="O465">
        <f t="shared" si="43"/>
        <v>104597</v>
      </c>
      <c r="P465">
        <f t="shared" si="44"/>
        <v>0.16176536544400918</v>
      </c>
      <c r="Q465">
        <v>1</v>
      </c>
      <c r="R465">
        <v>16821</v>
      </c>
      <c r="S465">
        <f t="shared" si="45"/>
        <v>3.8461538461538464E-2</v>
      </c>
      <c r="T465">
        <v>13</v>
      </c>
      <c r="U465">
        <v>3.62</v>
      </c>
      <c r="V465">
        <v>143461</v>
      </c>
      <c r="W465">
        <v>4384072</v>
      </c>
      <c r="X465">
        <f t="shared" si="46"/>
        <v>30.559329713301874</v>
      </c>
      <c r="Y465" t="str">
        <f t="shared" si="47"/>
        <v>Weak Product</v>
      </c>
    </row>
    <row r="466" spans="1:25" x14ac:dyDescent="0.3">
      <c r="A466" t="s">
        <v>967</v>
      </c>
      <c r="B466" t="s">
        <v>968</v>
      </c>
      <c r="C466" t="s">
        <v>940</v>
      </c>
      <c r="D466" s="1">
        <v>45642</v>
      </c>
      <c r="E466">
        <v>105</v>
      </c>
      <c r="F466" t="s">
        <v>28</v>
      </c>
      <c r="G466">
        <v>12998</v>
      </c>
      <c r="H466">
        <v>9261</v>
      </c>
      <c r="I466">
        <v>77</v>
      </c>
      <c r="J466">
        <v>112</v>
      </c>
      <c r="K466">
        <v>1455776</v>
      </c>
      <c r="L466">
        <v>185819</v>
      </c>
      <c r="M466">
        <v>1269957</v>
      </c>
      <c r="N466">
        <f t="shared" si="42"/>
        <v>1037232</v>
      </c>
      <c r="O466">
        <f t="shared" si="43"/>
        <v>232725</v>
      </c>
      <c r="P466">
        <f t="shared" si="44"/>
        <v>0.18325423616705133</v>
      </c>
      <c r="Q466">
        <v>10</v>
      </c>
      <c r="R466">
        <v>116980</v>
      </c>
      <c r="S466">
        <f t="shared" si="45"/>
        <v>0.12987012987012986</v>
      </c>
      <c r="T466">
        <v>38</v>
      </c>
      <c r="U466">
        <v>3.67</v>
      </c>
      <c r="V466">
        <v>360134</v>
      </c>
      <c r="W466">
        <v>2800918</v>
      </c>
      <c r="X466">
        <f t="shared" si="46"/>
        <v>7.7774328444412362</v>
      </c>
      <c r="Y466" t="str">
        <f t="shared" si="47"/>
        <v>Weak Product</v>
      </c>
    </row>
    <row r="467" spans="1:25" x14ac:dyDescent="0.3">
      <c r="A467" t="s">
        <v>969</v>
      </c>
      <c r="B467" t="s">
        <v>970</v>
      </c>
      <c r="C467" t="s">
        <v>940</v>
      </c>
      <c r="D467" s="1">
        <v>45483</v>
      </c>
      <c r="E467">
        <v>264</v>
      </c>
      <c r="F467" t="s">
        <v>28</v>
      </c>
      <c r="G467">
        <v>14817</v>
      </c>
      <c r="H467">
        <v>7801</v>
      </c>
      <c r="I467">
        <v>42</v>
      </c>
      <c r="J467">
        <v>64</v>
      </c>
      <c r="K467">
        <v>948288</v>
      </c>
      <c r="L467">
        <v>148870</v>
      </c>
      <c r="M467">
        <v>799418</v>
      </c>
      <c r="N467">
        <f t="shared" si="42"/>
        <v>499264</v>
      </c>
      <c r="O467">
        <f t="shared" si="43"/>
        <v>300154</v>
      </c>
      <c r="P467">
        <f t="shared" si="44"/>
        <v>0.37546565126129261</v>
      </c>
      <c r="Q467">
        <v>6</v>
      </c>
      <c r="R467">
        <v>80010</v>
      </c>
      <c r="S467">
        <f t="shared" si="45"/>
        <v>0.14285714285714285</v>
      </c>
      <c r="T467">
        <v>16</v>
      </c>
      <c r="U467">
        <v>4.16</v>
      </c>
      <c r="V467">
        <v>81068</v>
      </c>
      <c r="W467">
        <v>2871228</v>
      </c>
      <c r="X467">
        <f t="shared" si="46"/>
        <v>35.417526027532439</v>
      </c>
      <c r="Y467" t="str">
        <f t="shared" si="47"/>
        <v>Hidden Opportunity</v>
      </c>
    </row>
    <row r="468" spans="1:25" x14ac:dyDescent="0.3">
      <c r="A468" t="s">
        <v>971</v>
      </c>
      <c r="B468" t="s">
        <v>972</v>
      </c>
      <c r="C468" t="s">
        <v>940</v>
      </c>
      <c r="D468" s="1">
        <v>45016</v>
      </c>
      <c r="E468">
        <v>731</v>
      </c>
      <c r="F468" t="s">
        <v>28</v>
      </c>
      <c r="G468">
        <v>6639</v>
      </c>
      <c r="H468">
        <v>5096</v>
      </c>
      <c r="I468">
        <v>71</v>
      </c>
      <c r="J468">
        <v>108</v>
      </c>
      <c r="K468">
        <v>717012</v>
      </c>
      <c r="L468">
        <v>99827</v>
      </c>
      <c r="M468">
        <v>617185</v>
      </c>
      <c r="N468">
        <f t="shared" si="42"/>
        <v>550368</v>
      </c>
      <c r="O468">
        <f t="shared" si="43"/>
        <v>66817</v>
      </c>
      <c r="P468">
        <f t="shared" si="44"/>
        <v>0.10826089422134368</v>
      </c>
      <c r="Q468">
        <v>6</v>
      </c>
      <c r="R468">
        <v>35850</v>
      </c>
      <c r="S468">
        <f t="shared" si="45"/>
        <v>8.4507042253521125E-2</v>
      </c>
      <c r="T468">
        <v>25</v>
      </c>
      <c r="U468">
        <v>3.46</v>
      </c>
      <c r="V468">
        <v>204503</v>
      </c>
      <c r="W468">
        <v>2206529</v>
      </c>
      <c r="X468">
        <f t="shared" si="46"/>
        <v>10.789714576314283</v>
      </c>
      <c r="Y468" t="str">
        <f t="shared" si="47"/>
        <v>Weak Product</v>
      </c>
    </row>
    <row r="469" spans="1:25" x14ac:dyDescent="0.3">
      <c r="A469" t="s">
        <v>973</v>
      </c>
      <c r="B469" t="s">
        <v>974</v>
      </c>
      <c r="C469" t="s">
        <v>940</v>
      </c>
      <c r="D469" s="1">
        <v>45404</v>
      </c>
      <c r="E469">
        <v>343</v>
      </c>
      <c r="F469" t="s">
        <v>28</v>
      </c>
      <c r="G469">
        <v>1630</v>
      </c>
      <c r="H469">
        <v>1152</v>
      </c>
      <c r="I469">
        <v>110</v>
      </c>
      <c r="J469">
        <v>160</v>
      </c>
      <c r="K469">
        <v>260800</v>
      </c>
      <c r="L469">
        <v>31349</v>
      </c>
      <c r="M469">
        <v>229451</v>
      </c>
      <c r="N469">
        <f t="shared" si="42"/>
        <v>184320</v>
      </c>
      <c r="O469">
        <f t="shared" si="43"/>
        <v>45131</v>
      </c>
      <c r="P469">
        <f t="shared" si="44"/>
        <v>0.19669123255074067</v>
      </c>
      <c r="Q469">
        <v>12</v>
      </c>
      <c r="R469">
        <v>17604</v>
      </c>
      <c r="S469">
        <f t="shared" si="45"/>
        <v>0.10909090909090909</v>
      </c>
      <c r="T469">
        <v>45</v>
      </c>
      <c r="U469">
        <v>3.77</v>
      </c>
      <c r="V469">
        <v>242236</v>
      </c>
      <c r="W469">
        <v>522657</v>
      </c>
      <c r="X469">
        <f t="shared" si="46"/>
        <v>2.1576355289882594</v>
      </c>
      <c r="Y469" t="str">
        <f t="shared" si="47"/>
        <v>Weak Product</v>
      </c>
    </row>
    <row r="470" spans="1:25" x14ac:dyDescent="0.3">
      <c r="A470" t="s">
        <v>975</v>
      </c>
      <c r="B470" t="s">
        <v>976</v>
      </c>
      <c r="C470" t="s">
        <v>940</v>
      </c>
      <c r="D470" s="1">
        <v>45165</v>
      </c>
      <c r="E470">
        <v>582</v>
      </c>
      <c r="F470" t="s">
        <v>28</v>
      </c>
      <c r="G470">
        <v>1607</v>
      </c>
      <c r="H470">
        <v>1335</v>
      </c>
      <c r="I470">
        <v>295</v>
      </c>
      <c r="J470">
        <v>439</v>
      </c>
      <c r="K470">
        <v>705473</v>
      </c>
      <c r="L470">
        <v>93750</v>
      </c>
      <c r="M470">
        <v>611723</v>
      </c>
      <c r="N470">
        <f t="shared" si="42"/>
        <v>586065</v>
      </c>
      <c r="O470">
        <f t="shared" si="43"/>
        <v>25658</v>
      </c>
      <c r="P470">
        <f t="shared" si="44"/>
        <v>4.1943820977795504E-2</v>
      </c>
      <c r="Q470">
        <v>11</v>
      </c>
      <c r="R470">
        <v>15906</v>
      </c>
      <c r="S470">
        <f t="shared" si="45"/>
        <v>3.7288135593220341E-2</v>
      </c>
      <c r="T470">
        <v>107</v>
      </c>
      <c r="U470">
        <v>3.17</v>
      </c>
      <c r="V470">
        <v>81019</v>
      </c>
      <c r="W470">
        <v>203021</v>
      </c>
      <c r="X470">
        <f t="shared" si="46"/>
        <v>2.5058443081252544</v>
      </c>
      <c r="Y470" t="str">
        <f t="shared" si="47"/>
        <v>Weak Product</v>
      </c>
    </row>
    <row r="471" spans="1:25" x14ac:dyDescent="0.3">
      <c r="A471" t="s">
        <v>977</v>
      </c>
      <c r="B471" t="s">
        <v>978</v>
      </c>
      <c r="C471" t="s">
        <v>940</v>
      </c>
      <c r="D471" s="1">
        <v>45637</v>
      </c>
      <c r="E471">
        <v>110</v>
      </c>
      <c r="F471" t="s">
        <v>28</v>
      </c>
      <c r="G471">
        <v>18326</v>
      </c>
      <c r="H471">
        <v>13540</v>
      </c>
      <c r="I471">
        <v>27</v>
      </c>
      <c r="J471">
        <v>42</v>
      </c>
      <c r="K471">
        <v>769692</v>
      </c>
      <c r="L471">
        <v>132416</v>
      </c>
      <c r="M471">
        <v>637276</v>
      </c>
      <c r="N471">
        <f t="shared" si="42"/>
        <v>568680</v>
      </c>
      <c r="O471">
        <f t="shared" si="43"/>
        <v>68596</v>
      </c>
      <c r="P471">
        <f t="shared" si="44"/>
        <v>0.10763939015434443</v>
      </c>
      <c r="Q471">
        <v>0</v>
      </c>
      <c r="R471">
        <v>0</v>
      </c>
      <c r="S471">
        <f t="shared" si="45"/>
        <v>0</v>
      </c>
      <c r="T471">
        <v>14</v>
      </c>
      <c r="U471">
        <v>3.5</v>
      </c>
      <c r="V471">
        <v>522932</v>
      </c>
      <c r="W471">
        <v>12636106</v>
      </c>
      <c r="X471">
        <f t="shared" si="46"/>
        <v>24.163956307894718</v>
      </c>
      <c r="Y471" t="str">
        <f t="shared" si="47"/>
        <v>Weak Product</v>
      </c>
    </row>
    <row r="472" spans="1:25" x14ac:dyDescent="0.3">
      <c r="A472" t="s">
        <v>979</v>
      </c>
      <c r="B472" t="s">
        <v>980</v>
      </c>
      <c r="C472" t="s">
        <v>940</v>
      </c>
      <c r="D472" s="1">
        <v>45384</v>
      </c>
      <c r="E472">
        <v>363</v>
      </c>
      <c r="F472" t="s">
        <v>28</v>
      </c>
      <c r="G472">
        <v>5521</v>
      </c>
      <c r="H472">
        <v>3935</v>
      </c>
      <c r="I472">
        <v>85</v>
      </c>
      <c r="J472">
        <v>133</v>
      </c>
      <c r="K472">
        <v>734293</v>
      </c>
      <c r="L472">
        <v>95157</v>
      </c>
      <c r="M472">
        <v>639136</v>
      </c>
      <c r="N472">
        <f t="shared" si="42"/>
        <v>523355</v>
      </c>
      <c r="O472">
        <f t="shared" si="43"/>
        <v>115781</v>
      </c>
      <c r="P472">
        <f t="shared" si="44"/>
        <v>0.18115236819706604</v>
      </c>
      <c r="Q472">
        <v>5</v>
      </c>
      <c r="R472">
        <v>24840</v>
      </c>
      <c r="S472">
        <f t="shared" si="45"/>
        <v>5.8823529411764705E-2</v>
      </c>
      <c r="T472">
        <v>33</v>
      </c>
      <c r="U472">
        <v>3.55</v>
      </c>
      <c r="V472">
        <v>427408</v>
      </c>
      <c r="W472">
        <v>2082767</v>
      </c>
      <c r="X472">
        <f t="shared" si="46"/>
        <v>4.8730182869763787</v>
      </c>
      <c r="Y472" t="str">
        <f t="shared" si="47"/>
        <v>Weak Product</v>
      </c>
    </row>
    <row r="473" spans="1:25" x14ac:dyDescent="0.3">
      <c r="A473" t="s">
        <v>981</v>
      </c>
      <c r="B473" t="s">
        <v>982</v>
      </c>
      <c r="C473" t="s">
        <v>940</v>
      </c>
      <c r="D473" s="1">
        <v>45605</v>
      </c>
      <c r="E473">
        <v>142</v>
      </c>
      <c r="F473" t="s">
        <v>28</v>
      </c>
      <c r="G473">
        <v>9918</v>
      </c>
      <c r="H473">
        <v>7951</v>
      </c>
      <c r="I473">
        <v>84</v>
      </c>
      <c r="J473">
        <v>124</v>
      </c>
      <c r="K473">
        <v>1229832</v>
      </c>
      <c r="L473">
        <v>128692</v>
      </c>
      <c r="M473">
        <v>1101140</v>
      </c>
      <c r="N473">
        <f t="shared" si="42"/>
        <v>985924</v>
      </c>
      <c r="O473">
        <f t="shared" si="43"/>
        <v>115216</v>
      </c>
      <c r="P473">
        <f t="shared" si="44"/>
        <v>0.10463337995168644</v>
      </c>
      <c r="Q473">
        <v>13</v>
      </c>
      <c r="R473">
        <v>116038</v>
      </c>
      <c r="S473">
        <f t="shared" si="45"/>
        <v>0.15476190476190477</v>
      </c>
      <c r="T473">
        <v>35</v>
      </c>
      <c r="U473">
        <v>3.34</v>
      </c>
      <c r="V473">
        <v>287919</v>
      </c>
      <c r="W473">
        <v>4319474</v>
      </c>
      <c r="X473">
        <f t="shared" si="46"/>
        <v>15.002393034151966</v>
      </c>
      <c r="Y473" t="str">
        <f t="shared" si="47"/>
        <v>Weak Product</v>
      </c>
    </row>
    <row r="474" spans="1:25" x14ac:dyDescent="0.3">
      <c r="A474" t="s">
        <v>983</v>
      </c>
      <c r="B474" t="s">
        <v>984</v>
      </c>
      <c r="C474" t="s">
        <v>940</v>
      </c>
      <c r="D474" s="1">
        <v>45492</v>
      </c>
      <c r="E474">
        <v>255</v>
      </c>
      <c r="F474" t="s">
        <v>28</v>
      </c>
      <c r="G474">
        <v>14902</v>
      </c>
      <c r="H474">
        <v>11800</v>
      </c>
      <c r="I474">
        <v>57</v>
      </c>
      <c r="J474">
        <v>83</v>
      </c>
      <c r="K474">
        <v>1236866</v>
      </c>
      <c r="L474">
        <v>193763</v>
      </c>
      <c r="M474">
        <v>1043103</v>
      </c>
      <c r="N474">
        <f t="shared" si="42"/>
        <v>979400</v>
      </c>
      <c r="O474">
        <f t="shared" si="43"/>
        <v>63703</v>
      </c>
      <c r="P474">
        <f t="shared" si="44"/>
        <v>6.107067087334616E-2</v>
      </c>
      <c r="Q474">
        <v>5</v>
      </c>
      <c r="R474">
        <v>67055</v>
      </c>
      <c r="S474">
        <f t="shared" si="45"/>
        <v>8.771929824561403E-2</v>
      </c>
      <c r="T474">
        <v>24</v>
      </c>
      <c r="U474">
        <v>3.13</v>
      </c>
      <c r="V474">
        <v>569915</v>
      </c>
      <c r="W474">
        <v>8045451</v>
      </c>
      <c r="X474">
        <f t="shared" si="46"/>
        <v>14.116931472237088</v>
      </c>
      <c r="Y474" t="str">
        <f t="shared" si="47"/>
        <v>Weak Product</v>
      </c>
    </row>
    <row r="475" spans="1:25" x14ac:dyDescent="0.3">
      <c r="A475" t="s">
        <v>985</v>
      </c>
      <c r="B475" t="s">
        <v>986</v>
      </c>
      <c r="C475" t="s">
        <v>940</v>
      </c>
      <c r="D475" s="1">
        <v>45388</v>
      </c>
      <c r="E475">
        <v>359</v>
      </c>
      <c r="F475" t="s">
        <v>28</v>
      </c>
      <c r="G475">
        <v>4014</v>
      </c>
      <c r="H475">
        <v>2915</v>
      </c>
      <c r="I475">
        <v>175</v>
      </c>
      <c r="J475">
        <v>269</v>
      </c>
      <c r="K475">
        <v>1079766</v>
      </c>
      <c r="L475">
        <v>183529</v>
      </c>
      <c r="M475">
        <v>896237</v>
      </c>
      <c r="N475">
        <f t="shared" si="42"/>
        <v>784135</v>
      </c>
      <c r="O475">
        <f t="shared" si="43"/>
        <v>112102</v>
      </c>
      <c r="P475">
        <f t="shared" si="44"/>
        <v>0.12508075430940699</v>
      </c>
      <c r="Q475">
        <v>17</v>
      </c>
      <c r="R475">
        <v>61404</v>
      </c>
      <c r="S475">
        <f t="shared" si="45"/>
        <v>9.7142857142857142E-2</v>
      </c>
      <c r="T475">
        <v>69</v>
      </c>
      <c r="U475">
        <v>3.46</v>
      </c>
      <c r="V475">
        <v>94238</v>
      </c>
      <c r="W475">
        <v>678280</v>
      </c>
      <c r="X475">
        <f t="shared" si="46"/>
        <v>7.1975211698041131</v>
      </c>
      <c r="Y475" t="str">
        <f t="shared" si="47"/>
        <v>Weak Product</v>
      </c>
    </row>
    <row r="476" spans="1:25" x14ac:dyDescent="0.3">
      <c r="A476" t="s">
        <v>987</v>
      </c>
      <c r="B476" t="s">
        <v>988</v>
      </c>
      <c r="C476" t="s">
        <v>940</v>
      </c>
      <c r="D476" s="1">
        <v>45138</v>
      </c>
      <c r="E476">
        <v>609</v>
      </c>
      <c r="F476" t="s">
        <v>28</v>
      </c>
      <c r="G476">
        <v>14899</v>
      </c>
      <c r="H476">
        <v>10145</v>
      </c>
      <c r="I476">
        <v>91</v>
      </c>
      <c r="J476">
        <v>138</v>
      </c>
      <c r="K476">
        <v>2056062</v>
      </c>
      <c r="L476">
        <v>280908</v>
      </c>
      <c r="M476">
        <v>1775154</v>
      </c>
      <c r="N476">
        <f t="shared" si="42"/>
        <v>1400010</v>
      </c>
      <c r="O476">
        <f t="shared" si="43"/>
        <v>375144</v>
      </c>
      <c r="P476">
        <f t="shared" si="44"/>
        <v>0.21133039725004141</v>
      </c>
      <c r="Q476">
        <v>3</v>
      </c>
      <c r="R476">
        <v>40227</v>
      </c>
      <c r="S476">
        <f t="shared" si="45"/>
        <v>3.2967032967032968E-2</v>
      </c>
      <c r="T476">
        <v>37</v>
      </c>
      <c r="U476">
        <v>3.96</v>
      </c>
      <c r="V476">
        <v>177760</v>
      </c>
      <c r="W476">
        <v>2562899</v>
      </c>
      <c r="X476">
        <f t="shared" si="46"/>
        <v>14.417748649864986</v>
      </c>
      <c r="Y476" t="str">
        <f t="shared" si="47"/>
        <v>Weak Product</v>
      </c>
    </row>
    <row r="477" spans="1:25" x14ac:dyDescent="0.3">
      <c r="A477" t="s">
        <v>989</v>
      </c>
      <c r="B477" t="s">
        <v>990</v>
      </c>
      <c r="C477" t="s">
        <v>940</v>
      </c>
      <c r="D477" s="1">
        <v>44902</v>
      </c>
      <c r="E477">
        <v>845</v>
      </c>
      <c r="F477" t="s">
        <v>28</v>
      </c>
      <c r="G477">
        <v>17771</v>
      </c>
      <c r="H477">
        <v>15935</v>
      </c>
      <c r="I477">
        <v>42</v>
      </c>
      <c r="J477">
        <v>66</v>
      </c>
      <c r="K477">
        <v>1172886</v>
      </c>
      <c r="L477">
        <v>165823</v>
      </c>
      <c r="M477">
        <v>1007063</v>
      </c>
      <c r="N477">
        <f t="shared" si="42"/>
        <v>1051710</v>
      </c>
      <c r="O477">
        <f t="shared" si="43"/>
        <v>-44647</v>
      </c>
      <c r="P477">
        <f t="shared" si="44"/>
        <v>-4.4333869877058334E-2</v>
      </c>
      <c r="Q477">
        <v>1</v>
      </c>
      <c r="R477">
        <v>15993</v>
      </c>
      <c r="S477">
        <f t="shared" si="45"/>
        <v>2.3809523809523808E-2</v>
      </c>
      <c r="T477">
        <v>16</v>
      </c>
      <c r="U477">
        <v>2.75</v>
      </c>
      <c r="V477">
        <v>495417</v>
      </c>
      <c r="W477">
        <v>11198433</v>
      </c>
      <c r="X477">
        <f t="shared" si="46"/>
        <v>22.604054765985019</v>
      </c>
      <c r="Y477" t="str">
        <f t="shared" si="47"/>
        <v>Weak Product</v>
      </c>
    </row>
    <row r="478" spans="1:25" x14ac:dyDescent="0.3">
      <c r="A478" t="s">
        <v>991</v>
      </c>
      <c r="B478" t="s">
        <v>992</v>
      </c>
      <c r="C478" t="s">
        <v>940</v>
      </c>
      <c r="D478" s="1">
        <v>45554</v>
      </c>
      <c r="E478">
        <v>193</v>
      </c>
      <c r="F478" t="s">
        <v>28</v>
      </c>
      <c r="G478">
        <v>7035</v>
      </c>
      <c r="H478">
        <v>4629</v>
      </c>
      <c r="I478">
        <v>41</v>
      </c>
      <c r="J478">
        <v>58</v>
      </c>
      <c r="K478">
        <v>408030</v>
      </c>
      <c r="L478">
        <v>73609</v>
      </c>
      <c r="M478">
        <v>334421</v>
      </c>
      <c r="N478">
        <f t="shared" si="42"/>
        <v>268482</v>
      </c>
      <c r="O478">
        <f t="shared" si="43"/>
        <v>65939</v>
      </c>
      <c r="P478">
        <f t="shared" si="44"/>
        <v>0.19717362246988077</v>
      </c>
      <c r="Q478">
        <v>2</v>
      </c>
      <c r="R478">
        <v>12662</v>
      </c>
      <c r="S478">
        <f t="shared" si="45"/>
        <v>4.878048780487805E-2</v>
      </c>
      <c r="T478">
        <v>16</v>
      </c>
      <c r="U478">
        <v>3.94</v>
      </c>
      <c r="V478">
        <v>406988</v>
      </c>
      <c r="W478">
        <v>3564227</v>
      </c>
      <c r="X478">
        <f t="shared" si="46"/>
        <v>8.7575727048463339</v>
      </c>
      <c r="Y478" t="str">
        <f t="shared" si="47"/>
        <v>Weak Product</v>
      </c>
    </row>
    <row r="479" spans="1:25" x14ac:dyDescent="0.3">
      <c r="A479" t="s">
        <v>993</v>
      </c>
      <c r="B479" t="s">
        <v>994</v>
      </c>
      <c r="C479" t="s">
        <v>940</v>
      </c>
      <c r="D479" s="1">
        <v>45174</v>
      </c>
      <c r="E479">
        <v>573</v>
      </c>
      <c r="F479" t="s">
        <v>28</v>
      </c>
      <c r="G479">
        <v>1077</v>
      </c>
      <c r="H479">
        <v>746</v>
      </c>
      <c r="I479">
        <v>168</v>
      </c>
      <c r="J479">
        <v>248</v>
      </c>
      <c r="K479">
        <v>267096</v>
      </c>
      <c r="L479">
        <v>53178</v>
      </c>
      <c r="M479">
        <v>213918</v>
      </c>
      <c r="N479">
        <f t="shared" si="42"/>
        <v>185008</v>
      </c>
      <c r="O479">
        <f t="shared" si="43"/>
        <v>28910</v>
      </c>
      <c r="P479">
        <f t="shared" si="44"/>
        <v>0.13514524256958274</v>
      </c>
      <c r="Q479">
        <v>26</v>
      </c>
      <c r="R479">
        <v>25194</v>
      </c>
      <c r="S479">
        <f t="shared" si="45"/>
        <v>0.15476190476190477</v>
      </c>
      <c r="T479">
        <v>59</v>
      </c>
      <c r="U479">
        <v>3.76</v>
      </c>
      <c r="V479">
        <v>83254</v>
      </c>
      <c r="W479">
        <v>111818</v>
      </c>
      <c r="X479">
        <f t="shared" si="46"/>
        <v>1.343094626084032</v>
      </c>
      <c r="Y479" t="str">
        <f t="shared" si="47"/>
        <v>Weak Product</v>
      </c>
    </row>
    <row r="480" spans="1:25" x14ac:dyDescent="0.3">
      <c r="A480" t="s">
        <v>995</v>
      </c>
      <c r="B480" t="s">
        <v>996</v>
      </c>
      <c r="C480" t="s">
        <v>940</v>
      </c>
      <c r="D480" s="1">
        <v>45252</v>
      </c>
      <c r="E480">
        <v>495</v>
      </c>
      <c r="F480" t="s">
        <v>28</v>
      </c>
      <c r="G480">
        <v>7758</v>
      </c>
      <c r="H480">
        <v>3801</v>
      </c>
      <c r="I480">
        <v>68</v>
      </c>
      <c r="J480">
        <v>100</v>
      </c>
      <c r="K480">
        <v>775800</v>
      </c>
      <c r="L480">
        <v>108541</v>
      </c>
      <c r="M480">
        <v>667259</v>
      </c>
      <c r="N480">
        <f t="shared" si="42"/>
        <v>380100</v>
      </c>
      <c r="O480">
        <f t="shared" si="43"/>
        <v>287159</v>
      </c>
      <c r="P480">
        <f t="shared" si="44"/>
        <v>0.43035612857975691</v>
      </c>
      <c r="Q480">
        <v>5</v>
      </c>
      <c r="R480">
        <v>34910</v>
      </c>
      <c r="S480">
        <f t="shared" si="45"/>
        <v>7.3529411764705885E-2</v>
      </c>
      <c r="T480">
        <v>24</v>
      </c>
      <c r="U480">
        <v>4.4000000000000004</v>
      </c>
      <c r="V480">
        <v>350889</v>
      </c>
      <c r="W480">
        <v>3068799</v>
      </c>
      <c r="X480">
        <f t="shared" si="46"/>
        <v>8.7457828544069489</v>
      </c>
      <c r="Y480" t="str">
        <f t="shared" si="47"/>
        <v>Weak Product</v>
      </c>
    </row>
    <row r="481" spans="1:25" x14ac:dyDescent="0.3">
      <c r="A481" t="s">
        <v>997</v>
      </c>
      <c r="B481" t="s">
        <v>998</v>
      </c>
      <c r="C481" t="s">
        <v>940</v>
      </c>
      <c r="D481" s="1">
        <v>45572</v>
      </c>
      <c r="E481">
        <v>175</v>
      </c>
      <c r="F481" t="s">
        <v>28</v>
      </c>
      <c r="G481">
        <v>17824</v>
      </c>
      <c r="H481">
        <v>15994</v>
      </c>
      <c r="I481">
        <v>83</v>
      </c>
      <c r="J481">
        <v>130</v>
      </c>
      <c r="K481">
        <v>2317120</v>
      </c>
      <c r="L481">
        <v>301008</v>
      </c>
      <c r="M481">
        <v>2016112</v>
      </c>
      <c r="N481">
        <f t="shared" si="42"/>
        <v>2079220</v>
      </c>
      <c r="O481">
        <f t="shared" si="43"/>
        <v>-63108</v>
      </c>
      <c r="P481">
        <f t="shared" si="44"/>
        <v>-3.1301832437880435E-2</v>
      </c>
      <c r="Q481">
        <v>1</v>
      </c>
      <c r="R481">
        <v>16041</v>
      </c>
      <c r="S481">
        <f t="shared" si="45"/>
        <v>1.2048192771084338E-2</v>
      </c>
      <c r="T481">
        <v>35</v>
      </c>
      <c r="U481">
        <v>2.97</v>
      </c>
      <c r="V481">
        <v>547704</v>
      </c>
      <c r="W481">
        <v>9828425</v>
      </c>
      <c r="X481">
        <f t="shared" si="46"/>
        <v>17.944774914917545</v>
      </c>
      <c r="Y481" t="str">
        <f t="shared" si="47"/>
        <v>Weak Product</v>
      </c>
    </row>
    <row r="482" spans="1:25" x14ac:dyDescent="0.3">
      <c r="A482" t="s">
        <v>999</v>
      </c>
      <c r="B482" t="s">
        <v>1000</v>
      </c>
      <c r="C482" t="s">
        <v>940</v>
      </c>
      <c r="D482" s="1">
        <v>45640</v>
      </c>
      <c r="E482">
        <v>107</v>
      </c>
      <c r="F482" t="s">
        <v>28</v>
      </c>
      <c r="G482">
        <v>16775</v>
      </c>
      <c r="H482">
        <v>14296</v>
      </c>
      <c r="I482">
        <v>44</v>
      </c>
      <c r="J482">
        <v>71</v>
      </c>
      <c r="K482">
        <v>1191025</v>
      </c>
      <c r="L482">
        <v>102905</v>
      </c>
      <c r="M482">
        <v>1088120</v>
      </c>
      <c r="N482">
        <f t="shared" si="42"/>
        <v>1015016</v>
      </c>
      <c r="O482">
        <f t="shared" si="43"/>
        <v>73104</v>
      </c>
      <c r="P482">
        <f t="shared" si="44"/>
        <v>6.718376649634232E-2</v>
      </c>
      <c r="Q482">
        <v>0</v>
      </c>
      <c r="R482">
        <v>0</v>
      </c>
      <c r="S482">
        <f t="shared" si="45"/>
        <v>0</v>
      </c>
      <c r="T482">
        <v>21</v>
      </c>
      <c r="U482">
        <v>3.17</v>
      </c>
      <c r="V482">
        <v>432519</v>
      </c>
      <c r="W482">
        <v>11679840</v>
      </c>
      <c r="X482">
        <f t="shared" si="46"/>
        <v>27.004224091889604</v>
      </c>
      <c r="Y482" t="str">
        <f t="shared" si="47"/>
        <v>Weak Product</v>
      </c>
    </row>
    <row r="483" spans="1:25" x14ac:dyDescent="0.3">
      <c r="A483" t="s">
        <v>1001</v>
      </c>
      <c r="B483" t="s">
        <v>1002</v>
      </c>
      <c r="C483" t="s">
        <v>940</v>
      </c>
      <c r="D483" s="1">
        <v>45060</v>
      </c>
      <c r="E483">
        <v>687</v>
      </c>
      <c r="F483" t="s">
        <v>28</v>
      </c>
      <c r="G483">
        <v>15830</v>
      </c>
      <c r="H483">
        <v>13133</v>
      </c>
      <c r="I483">
        <v>23</v>
      </c>
      <c r="J483">
        <v>33</v>
      </c>
      <c r="K483">
        <v>522390</v>
      </c>
      <c r="L483">
        <v>83401</v>
      </c>
      <c r="M483">
        <v>438989</v>
      </c>
      <c r="N483">
        <f t="shared" si="42"/>
        <v>433389</v>
      </c>
      <c r="O483">
        <f t="shared" si="43"/>
        <v>5600</v>
      </c>
      <c r="P483">
        <f t="shared" si="44"/>
        <v>1.2756583877955939E-2</v>
      </c>
      <c r="Q483">
        <v>1</v>
      </c>
      <c r="R483">
        <v>14247</v>
      </c>
      <c r="S483">
        <f t="shared" si="45"/>
        <v>4.3478260869565216E-2</v>
      </c>
      <c r="T483">
        <v>11</v>
      </c>
      <c r="U483">
        <v>2.91</v>
      </c>
      <c r="V483">
        <v>787550</v>
      </c>
      <c r="W483">
        <v>13826891</v>
      </c>
      <c r="X483">
        <f t="shared" si="46"/>
        <v>17.556842105263158</v>
      </c>
      <c r="Y483" t="str">
        <f t="shared" si="47"/>
        <v>Weak Product</v>
      </c>
    </row>
    <row r="484" spans="1:25" x14ac:dyDescent="0.3">
      <c r="A484" t="s">
        <v>1003</v>
      </c>
      <c r="B484" t="s">
        <v>1004</v>
      </c>
      <c r="C484" t="s">
        <v>940</v>
      </c>
      <c r="D484" s="1">
        <v>45649</v>
      </c>
      <c r="E484">
        <v>98</v>
      </c>
      <c r="F484" t="s">
        <v>28</v>
      </c>
      <c r="G484">
        <v>10065</v>
      </c>
      <c r="H484">
        <v>5990</v>
      </c>
      <c r="I484">
        <v>103</v>
      </c>
      <c r="J484">
        <v>159</v>
      </c>
      <c r="K484">
        <v>1600335</v>
      </c>
      <c r="L484">
        <v>121929</v>
      </c>
      <c r="M484">
        <v>1478406</v>
      </c>
      <c r="N484">
        <f t="shared" si="42"/>
        <v>952410</v>
      </c>
      <c r="O484">
        <f t="shared" si="43"/>
        <v>525996</v>
      </c>
      <c r="P484">
        <f t="shared" si="44"/>
        <v>0.35578589372608066</v>
      </c>
      <c r="Q484">
        <v>10</v>
      </c>
      <c r="R484">
        <v>90580</v>
      </c>
      <c r="S484">
        <f t="shared" si="45"/>
        <v>9.7087378640776698E-2</v>
      </c>
      <c r="T484">
        <v>49</v>
      </c>
      <c r="U484">
        <v>4.2</v>
      </c>
      <c r="V484">
        <v>714230</v>
      </c>
      <c r="W484">
        <v>7557972</v>
      </c>
      <c r="X484">
        <f t="shared" si="46"/>
        <v>10.581986194923203</v>
      </c>
      <c r="Y484" t="str">
        <f t="shared" si="47"/>
        <v>Weak Product</v>
      </c>
    </row>
    <row r="485" spans="1:25" x14ac:dyDescent="0.3">
      <c r="A485" t="s">
        <v>1005</v>
      </c>
      <c r="B485" t="s">
        <v>1006</v>
      </c>
      <c r="C485" t="s">
        <v>940</v>
      </c>
      <c r="D485" s="1">
        <v>44840</v>
      </c>
      <c r="E485">
        <v>907</v>
      </c>
      <c r="F485" t="s">
        <v>28</v>
      </c>
      <c r="G485">
        <v>4931</v>
      </c>
      <c r="H485">
        <v>4164</v>
      </c>
      <c r="I485">
        <v>95</v>
      </c>
      <c r="J485">
        <v>148</v>
      </c>
      <c r="K485">
        <v>729788</v>
      </c>
      <c r="L485">
        <v>126147</v>
      </c>
      <c r="M485">
        <v>603641</v>
      </c>
      <c r="N485">
        <f t="shared" si="42"/>
        <v>616272</v>
      </c>
      <c r="O485">
        <f t="shared" si="43"/>
        <v>-12631</v>
      </c>
      <c r="P485">
        <f t="shared" si="44"/>
        <v>-2.0924688680855012E-2</v>
      </c>
      <c r="Q485">
        <v>2</v>
      </c>
      <c r="R485">
        <v>8874</v>
      </c>
      <c r="S485">
        <f t="shared" si="45"/>
        <v>2.1052631578947368E-2</v>
      </c>
      <c r="T485">
        <v>45</v>
      </c>
      <c r="U485">
        <v>3.03</v>
      </c>
      <c r="V485">
        <v>611669</v>
      </c>
      <c r="W485">
        <v>3526306</v>
      </c>
      <c r="X485">
        <f t="shared" si="46"/>
        <v>5.7650559371163164</v>
      </c>
      <c r="Y485" t="str">
        <f t="shared" si="47"/>
        <v>Weak Product</v>
      </c>
    </row>
    <row r="486" spans="1:25" x14ac:dyDescent="0.3">
      <c r="A486" t="s">
        <v>1007</v>
      </c>
      <c r="B486" t="s">
        <v>1008</v>
      </c>
      <c r="C486" t="s">
        <v>940</v>
      </c>
      <c r="D486" s="1">
        <v>45496</v>
      </c>
      <c r="E486">
        <v>251</v>
      </c>
      <c r="F486" t="s">
        <v>28</v>
      </c>
      <c r="G486">
        <v>7237</v>
      </c>
      <c r="H486">
        <v>5169</v>
      </c>
      <c r="I486">
        <v>37</v>
      </c>
      <c r="J486">
        <v>57</v>
      </c>
      <c r="K486">
        <v>412509</v>
      </c>
      <c r="L486">
        <v>60781</v>
      </c>
      <c r="M486">
        <v>351728</v>
      </c>
      <c r="N486">
        <f t="shared" si="42"/>
        <v>294633</v>
      </c>
      <c r="O486">
        <f t="shared" si="43"/>
        <v>57095</v>
      </c>
      <c r="P486">
        <f t="shared" si="44"/>
        <v>0.16232713915298186</v>
      </c>
      <c r="Q486">
        <v>1</v>
      </c>
      <c r="R486">
        <v>6513</v>
      </c>
      <c r="S486">
        <f t="shared" si="45"/>
        <v>2.7027027027027029E-2</v>
      </c>
      <c r="T486">
        <v>9</v>
      </c>
      <c r="U486">
        <v>3.67</v>
      </c>
      <c r="V486">
        <v>667781</v>
      </c>
      <c r="W486">
        <v>4150642</v>
      </c>
      <c r="X486">
        <f t="shared" si="46"/>
        <v>6.2155736686129135</v>
      </c>
      <c r="Y486" t="str">
        <f t="shared" si="47"/>
        <v>Weak Product</v>
      </c>
    </row>
    <row r="487" spans="1:25" x14ac:dyDescent="0.3">
      <c r="A487" t="s">
        <v>1009</v>
      </c>
      <c r="B487" t="s">
        <v>1010</v>
      </c>
      <c r="C487" t="s">
        <v>940</v>
      </c>
      <c r="D487" s="1">
        <v>45653</v>
      </c>
      <c r="E487">
        <v>94</v>
      </c>
      <c r="F487" t="s">
        <v>28</v>
      </c>
      <c r="G487">
        <v>4054</v>
      </c>
      <c r="H487">
        <v>3317</v>
      </c>
      <c r="I487">
        <v>172</v>
      </c>
      <c r="J487">
        <v>249</v>
      </c>
      <c r="K487">
        <v>1009446</v>
      </c>
      <c r="L487">
        <v>183331</v>
      </c>
      <c r="M487">
        <v>826115</v>
      </c>
      <c r="N487">
        <f t="shared" si="42"/>
        <v>825933</v>
      </c>
      <c r="O487">
        <f t="shared" si="43"/>
        <v>182</v>
      </c>
      <c r="P487">
        <f t="shared" si="44"/>
        <v>2.2030831058629852E-4</v>
      </c>
      <c r="Q487">
        <v>10</v>
      </c>
      <c r="R487">
        <v>36480</v>
      </c>
      <c r="S487">
        <f t="shared" si="45"/>
        <v>5.8139534883720929E-2</v>
      </c>
      <c r="T487">
        <v>67</v>
      </c>
      <c r="U487">
        <v>3.3</v>
      </c>
      <c r="V487">
        <v>229182</v>
      </c>
      <c r="W487">
        <v>1595030</v>
      </c>
      <c r="X487">
        <f t="shared" si="46"/>
        <v>6.9596652442163869</v>
      </c>
      <c r="Y487" t="str">
        <f t="shared" si="47"/>
        <v>Weak Product</v>
      </c>
    </row>
    <row r="488" spans="1:25" x14ac:dyDescent="0.3">
      <c r="A488" t="s">
        <v>1011</v>
      </c>
      <c r="B488" t="s">
        <v>1012</v>
      </c>
      <c r="C488" t="s">
        <v>940</v>
      </c>
      <c r="D488" s="1">
        <v>44903</v>
      </c>
      <c r="E488">
        <v>844</v>
      </c>
      <c r="F488" t="s">
        <v>28</v>
      </c>
      <c r="G488">
        <v>2695</v>
      </c>
      <c r="H488">
        <v>2073</v>
      </c>
      <c r="I488">
        <v>107</v>
      </c>
      <c r="J488">
        <v>155</v>
      </c>
      <c r="K488">
        <v>417725</v>
      </c>
      <c r="L488">
        <v>69560</v>
      </c>
      <c r="M488">
        <v>348165</v>
      </c>
      <c r="N488">
        <f t="shared" si="42"/>
        <v>321315</v>
      </c>
      <c r="O488">
        <f t="shared" si="43"/>
        <v>26850</v>
      </c>
      <c r="P488">
        <f t="shared" si="44"/>
        <v>7.7118607556761878E-2</v>
      </c>
      <c r="Q488">
        <v>1</v>
      </c>
      <c r="R488">
        <v>2425</v>
      </c>
      <c r="S488">
        <f t="shared" si="45"/>
        <v>9.3457943925233638E-3</v>
      </c>
      <c r="T488">
        <v>39</v>
      </c>
      <c r="U488">
        <v>3.35</v>
      </c>
      <c r="V488">
        <v>20394</v>
      </c>
      <c r="W488">
        <v>266266</v>
      </c>
      <c r="X488">
        <f t="shared" si="46"/>
        <v>13.056094929881338</v>
      </c>
      <c r="Y488" t="str">
        <f t="shared" si="47"/>
        <v>Weak Product</v>
      </c>
    </row>
    <row r="489" spans="1:25" x14ac:dyDescent="0.3">
      <c r="A489" t="s">
        <v>1013</v>
      </c>
      <c r="B489" t="s">
        <v>1014</v>
      </c>
      <c r="C489" t="s">
        <v>940</v>
      </c>
      <c r="D489" s="1">
        <v>44906</v>
      </c>
      <c r="E489">
        <v>841</v>
      </c>
      <c r="F489" t="s">
        <v>28</v>
      </c>
      <c r="G489">
        <v>3577</v>
      </c>
      <c r="H489">
        <v>2760</v>
      </c>
      <c r="I489">
        <v>89</v>
      </c>
      <c r="J489">
        <v>133</v>
      </c>
      <c r="K489">
        <v>475741</v>
      </c>
      <c r="L489">
        <v>61960</v>
      </c>
      <c r="M489">
        <v>413781</v>
      </c>
      <c r="N489">
        <f t="shared" si="42"/>
        <v>367080</v>
      </c>
      <c r="O489">
        <f t="shared" si="43"/>
        <v>46701</v>
      </c>
      <c r="P489">
        <f t="shared" si="44"/>
        <v>0.11286405127349974</v>
      </c>
      <c r="Q489">
        <v>1</v>
      </c>
      <c r="R489">
        <v>3219</v>
      </c>
      <c r="S489">
        <f t="shared" si="45"/>
        <v>1.1235955056179775E-2</v>
      </c>
      <c r="T489">
        <v>33</v>
      </c>
      <c r="U489">
        <v>3.23</v>
      </c>
      <c r="V489">
        <v>538725</v>
      </c>
      <c r="W489">
        <v>2416420</v>
      </c>
      <c r="X489">
        <f t="shared" si="46"/>
        <v>4.4854424799294632</v>
      </c>
      <c r="Y489" t="str">
        <f t="shared" si="47"/>
        <v>Weak Product</v>
      </c>
    </row>
    <row r="490" spans="1:25" x14ac:dyDescent="0.3">
      <c r="A490" t="s">
        <v>1015</v>
      </c>
      <c r="B490" t="s">
        <v>1016</v>
      </c>
      <c r="C490" t="s">
        <v>940</v>
      </c>
      <c r="D490" s="1">
        <v>45208</v>
      </c>
      <c r="E490">
        <v>539</v>
      </c>
      <c r="F490" t="s">
        <v>28</v>
      </c>
      <c r="G490">
        <v>5292</v>
      </c>
      <c r="H490">
        <v>3415</v>
      </c>
      <c r="I490">
        <v>84</v>
      </c>
      <c r="J490">
        <v>127</v>
      </c>
      <c r="K490">
        <v>672084</v>
      </c>
      <c r="L490">
        <v>120000</v>
      </c>
      <c r="M490">
        <v>552084</v>
      </c>
      <c r="N490">
        <f t="shared" si="42"/>
        <v>433705</v>
      </c>
      <c r="O490">
        <f t="shared" si="43"/>
        <v>118379</v>
      </c>
      <c r="P490">
        <f t="shared" si="44"/>
        <v>0.21442208069786481</v>
      </c>
      <c r="Q490">
        <v>2</v>
      </c>
      <c r="R490">
        <v>9524</v>
      </c>
      <c r="S490">
        <f t="shared" si="45"/>
        <v>2.3809523809523808E-2</v>
      </c>
      <c r="T490">
        <v>36</v>
      </c>
      <c r="U490">
        <v>3.92</v>
      </c>
      <c r="V490">
        <v>469259</v>
      </c>
      <c r="W490">
        <v>3903172</v>
      </c>
      <c r="X490">
        <f t="shared" si="46"/>
        <v>8.3177349821740236</v>
      </c>
      <c r="Y490" t="str">
        <f t="shared" si="47"/>
        <v>Weak Product</v>
      </c>
    </row>
    <row r="491" spans="1:25" x14ac:dyDescent="0.3">
      <c r="A491" t="s">
        <v>1017</v>
      </c>
      <c r="B491" t="s">
        <v>1018</v>
      </c>
      <c r="C491" t="s">
        <v>940</v>
      </c>
      <c r="D491" s="1">
        <v>45203</v>
      </c>
      <c r="E491">
        <v>544</v>
      </c>
      <c r="F491" t="s">
        <v>28</v>
      </c>
      <c r="G491">
        <v>14589</v>
      </c>
      <c r="H491">
        <v>11313</v>
      </c>
      <c r="I491">
        <v>87</v>
      </c>
      <c r="J491">
        <v>124</v>
      </c>
      <c r="K491">
        <v>1809036</v>
      </c>
      <c r="L491">
        <v>306574</v>
      </c>
      <c r="M491">
        <v>1502462</v>
      </c>
      <c r="N491">
        <f t="shared" si="42"/>
        <v>1402812</v>
      </c>
      <c r="O491">
        <f t="shared" si="43"/>
        <v>99650</v>
      </c>
      <c r="P491">
        <f t="shared" si="44"/>
        <v>6.6324472765367778E-2</v>
      </c>
      <c r="Q491">
        <v>3</v>
      </c>
      <c r="R491">
        <v>39390</v>
      </c>
      <c r="S491">
        <f t="shared" si="45"/>
        <v>3.4482758620689655E-2</v>
      </c>
      <c r="T491">
        <v>34</v>
      </c>
      <c r="U491">
        <v>3.37</v>
      </c>
      <c r="V491">
        <v>192923</v>
      </c>
      <c r="W491">
        <v>2145013</v>
      </c>
      <c r="X491">
        <f t="shared" si="46"/>
        <v>11.118492870212469</v>
      </c>
      <c r="Y491" t="str">
        <f t="shared" si="47"/>
        <v>Weak Product</v>
      </c>
    </row>
    <row r="492" spans="1:25" x14ac:dyDescent="0.3">
      <c r="A492" t="s">
        <v>1019</v>
      </c>
      <c r="B492" t="s">
        <v>1020</v>
      </c>
      <c r="C492" t="s">
        <v>940</v>
      </c>
      <c r="D492" s="1">
        <v>45014</v>
      </c>
      <c r="E492">
        <v>733</v>
      </c>
      <c r="F492" t="s">
        <v>28</v>
      </c>
      <c r="G492">
        <v>16256</v>
      </c>
      <c r="H492">
        <v>10594</v>
      </c>
      <c r="I492">
        <v>39</v>
      </c>
      <c r="J492">
        <v>59</v>
      </c>
      <c r="K492">
        <v>959104</v>
      </c>
      <c r="L492">
        <v>170973</v>
      </c>
      <c r="M492">
        <v>788131</v>
      </c>
      <c r="N492">
        <f t="shared" si="42"/>
        <v>625046</v>
      </c>
      <c r="O492">
        <f t="shared" si="43"/>
        <v>163085</v>
      </c>
      <c r="P492">
        <f t="shared" si="44"/>
        <v>0.20692625972078246</v>
      </c>
      <c r="Q492">
        <v>1</v>
      </c>
      <c r="R492">
        <v>14630</v>
      </c>
      <c r="S492">
        <f t="shared" si="45"/>
        <v>2.564102564102564E-2</v>
      </c>
      <c r="T492">
        <v>16</v>
      </c>
      <c r="U492">
        <v>4.03</v>
      </c>
      <c r="V492">
        <v>488212</v>
      </c>
      <c r="W492">
        <v>11431552</v>
      </c>
      <c r="X492">
        <f t="shared" si="46"/>
        <v>23.41513932471959</v>
      </c>
      <c r="Y492" t="str">
        <f t="shared" si="47"/>
        <v>Star</v>
      </c>
    </row>
    <row r="493" spans="1:25" x14ac:dyDescent="0.3">
      <c r="A493" t="s">
        <v>1021</v>
      </c>
      <c r="B493" t="s">
        <v>1022</v>
      </c>
      <c r="C493" t="s">
        <v>940</v>
      </c>
      <c r="D493" s="1">
        <v>45476</v>
      </c>
      <c r="E493">
        <v>271</v>
      </c>
      <c r="F493" t="s">
        <v>28</v>
      </c>
      <c r="G493">
        <v>8924</v>
      </c>
      <c r="H493">
        <v>5085</v>
      </c>
      <c r="I493">
        <v>54</v>
      </c>
      <c r="J493">
        <v>84</v>
      </c>
      <c r="K493">
        <v>749616</v>
      </c>
      <c r="L493">
        <v>64525</v>
      </c>
      <c r="M493">
        <v>685091</v>
      </c>
      <c r="N493">
        <f t="shared" si="42"/>
        <v>427140</v>
      </c>
      <c r="O493">
        <f t="shared" si="43"/>
        <v>257951</v>
      </c>
      <c r="P493">
        <f t="shared" si="44"/>
        <v>0.37652078337038436</v>
      </c>
      <c r="Q493">
        <v>3</v>
      </c>
      <c r="R493">
        <v>24093</v>
      </c>
      <c r="S493">
        <f t="shared" si="45"/>
        <v>5.5555555555555552E-2</v>
      </c>
      <c r="T493">
        <v>18</v>
      </c>
      <c r="U493">
        <v>4.22</v>
      </c>
      <c r="V493">
        <v>379911</v>
      </c>
      <c r="W493">
        <v>4609740</v>
      </c>
      <c r="X493">
        <f t="shared" si="46"/>
        <v>12.133736585674013</v>
      </c>
      <c r="Y493" t="str">
        <f t="shared" si="47"/>
        <v>Weak Product</v>
      </c>
    </row>
    <row r="494" spans="1:25" x14ac:dyDescent="0.3">
      <c r="A494" t="s">
        <v>1023</v>
      </c>
      <c r="B494" t="s">
        <v>1024</v>
      </c>
      <c r="C494" t="s">
        <v>940</v>
      </c>
      <c r="D494" s="1">
        <v>45399</v>
      </c>
      <c r="E494">
        <v>348</v>
      </c>
      <c r="F494" t="s">
        <v>28</v>
      </c>
      <c r="G494">
        <v>7270</v>
      </c>
      <c r="H494">
        <v>3578</v>
      </c>
      <c r="I494">
        <v>79</v>
      </c>
      <c r="J494">
        <v>121</v>
      </c>
      <c r="K494">
        <v>879670</v>
      </c>
      <c r="L494">
        <v>144207</v>
      </c>
      <c r="M494">
        <v>735463</v>
      </c>
      <c r="N494">
        <f t="shared" si="42"/>
        <v>432938</v>
      </c>
      <c r="O494">
        <f t="shared" si="43"/>
        <v>302525</v>
      </c>
      <c r="P494">
        <f t="shared" si="44"/>
        <v>0.41133952353823372</v>
      </c>
      <c r="Q494">
        <v>7</v>
      </c>
      <c r="R494">
        <v>45801</v>
      </c>
      <c r="S494">
        <f t="shared" si="45"/>
        <v>8.8607594936708861E-2</v>
      </c>
      <c r="T494">
        <v>39</v>
      </c>
      <c r="U494">
        <v>4.28</v>
      </c>
      <c r="V494">
        <v>275154</v>
      </c>
      <c r="W494">
        <v>2621398</v>
      </c>
      <c r="X494">
        <f t="shared" si="46"/>
        <v>9.5270212317465859</v>
      </c>
      <c r="Y494" t="str">
        <f t="shared" si="47"/>
        <v>Weak Product</v>
      </c>
    </row>
    <row r="495" spans="1:25" x14ac:dyDescent="0.3">
      <c r="A495" t="s">
        <v>1025</v>
      </c>
      <c r="B495" t="s">
        <v>1026</v>
      </c>
      <c r="C495" t="s">
        <v>940</v>
      </c>
      <c r="D495" s="1">
        <v>45625</v>
      </c>
      <c r="E495">
        <v>122</v>
      </c>
      <c r="F495" t="s">
        <v>28</v>
      </c>
      <c r="G495">
        <v>13160</v>
      </c>
      <c r="H495">
        <v>10521</v>
      </c>
      <c r="I495">
        <v>71</v>
      </c>
      <c r="J495">
        <v>101</v>
      </c>
      <c r="K495">
        <v>1329160</v>
      </c>
      <c r="L495">
        <v>197347</v>
      </c>
      <c r="M495">
        <v>1131813</v>
      </c>
      <c r="N495">
        <f t="shared" si="42"/>
        <v>1062621</v>
      </c>
      <c r="O495">
        <f t="shared" si="43"/>
        <v>69192</v>
      </c>
      <c r="P495">
        <f t="shared" si="44"/>
        <v>6.1133773865470711E-2</v>
      </c>
      <c r="Q495">
        <v>4</v>
      </c>
      <c r="R495">
        <v>47376</v>
      </c>
      <c r="S495">
        <f t="shared" si="45"/>
        <v>5.6338028169014086E-2</v>
      </c>
      <c r="T495">
        <v>27</v>
      </c>
      <c r="U495">
        <v>3.28</v>
      </c>
      <c r="V495">
        <v>361172</v>
      </c>
      <c r="W495">
        <v>5073858</v>
      </c>
      <c r="X495">
        <f t="shared" si="46"/>
        <v>14.048314930282524</v>
      </c>
      <c r="Y495" t="str">
        <f t="shared" si="47"/>
        <v>Weak Product</v>
      </c>
    </row>
    <row r="496" spans="1:25" x14ac:dyDescent="0.3">
      <c r="A496" t="s">
        <v>1027</v>
      </c>
      <c r="B496" t="s">
        <v>1028</v>
      </c>
      <c r="C496" t="s">
        <v>940</v>
      </c>
      <c r="D496" s="1">
        <v>45513</v>
      </c>
      <c r="E496">
        <v>234</v>
      </c>
      <c r="F496" t="s">
        <v>28</v>
      </c>
      <c r="G496">
        <v>12222</v>
      </c>
      <c r="H496">
        <v>8237</v>
      </c>
      <c r="I496">
        <v>33</v>
      </c>
      <c r="J496">
        <v>49</v>
      </c>
      <c r="K496">
        <v>598878</v>
      </c>
      <c r="L496">
        <v>95276</v>
      </c>
      <c r="M496">
        <v>503602</v>
      </c>
      <c r="N496">
        <f t="shared" si="42"/>
        <v>403613</v>
      </c>
      <c r="O496">
        <f t="shared" si="43"/>
        <v>99989</v>
      </c>
      <c r="P496">
        <f t="shared" si="44"/>
        <v>0.1985476626383533</v>
      </c>
      <c r="Q496">
        <v>1</v>
      </c>
      <c r="R496">
        <v>10999</v>
      </c>
      <c r="S496">
        <f t="shared" si="45"/>
        <v>3.0303030303030304E-2</v>
      </c>
      <c r="T496">
        <v>6</v>
      </c>
      <c r="U496">
        <v>4.33</v>
      </c>
      <c r="V496">
        <v>233041</v>
      </c>
      <c r="W496">
        <v>3227008</v>
      </c>
      <c r="X496">
        <f t="shared" si="46"/>
        <v>13.847383078514081</v>
      </c>
      <c r="Y496" t="str">
        <f t="shared" si="47"/>
        <v>Star</v>
      </c>
    </row>
    <row r="497" spans="1:25" x14ac:dyDescent="0.3">
      <c r="A497" t="s">
        <v>1029</v>
      </c>
      <c r="B497" t="s">
        <v>1030</v>
      </c>
      <c r="C497" t="s">
        <v>940</v>
      </c>
      <c r="D497" s="1">
        <v>45018</v>
      </c>
      <c r="E497">
        <v>729</v>
      </c>
      <c r="F497" t="s">
        <v>28</v>
      </c>
      <c r="G497">
        <v>4898</v>
      </c>
      <c r="H497">
        <v>3424</v>
      </c>
      <c r="I497">
        <v>89</v>
      </c>
      <c r="J497">
        <v>134</v>
      </c>
      <c r="K497">
        <v>656332</v>
      </c>
      <c r="L497">
        <v>90380</v>
      </c>
      <c r="M497">
        <v>565952</v>
      </c>
      <c r="N497">
        <f t="shared" si="42"/>
        <v>458816</v>
      </c>
      <c r="O497">
        <f t="shared" si="43"/>
        <v>107136</v>
      </c>
      <c r="P497">
        <f t="shared" si="44"/>
        <v>0.18930227298428134</v>
      </c>
      <c r="Q497">
        <v>3</v>
      </c>
      <c r="R497">
        <v>13224</v>
      </c>
      <c r="S497">
        <f t="shared" si="45"/>
        <v>3.3707865168539325E-2</v>
      </c>
      <c r="T497">
        <v>41</v>
      </c>
      <c r="U497">
        <v>3.62</v>
      </c>
      <c r="V497">
        <v>414304</v>
      </c>
      <c r="W497">
        <v>2154141</v>
      </c>
      <c r="X497">
        <f t="shared" si="46"/>
        <v>5.199421197960918</v>
      </c>
      <c r="Y497" t="str">
        <f t="shared" si="47"/>
        <v>Weak Product</v>
      </c>
    </row>
    <row r="498" spans="1:25" x14ac:dyDescent="0.3">
      <c r="A498" t="s">
        <v>1031</v>
      </c>
      <c r="B498" t="s">
        <v>1032</v>
      </c>
      <c r="C498" t="s">
        <v>940</v>
      </c>
      <c r="D498" s="1">
        <v>45614</v>
      </c>
      <c r="E498">
        <v>133</v>
      </c>
      <c r="F498" t="s">
        <v>28</v>
      </c>
      <c r="G498">
        <v>12056</v>
      </c>
      <c r="H498">
        <v>10631</v>
      </c>
      <c r="I498">
        <v>81</v>
      </c>
      <c r="J498">
        <v>121</v>
      </c>
      <c r="K498">
        <v>1458776</v>
      </c>
      <c r="L498">
        <v>269687</v>
      </c>
      <c r="M498">
        <v>1189089</v>
      </c>
      <c r="N498">
        <f t="shared" si="42"/>
        <v>1286351</v>
      </c>
      <c r="O498">
        <f t="shared" si="43"/>
        <v>-97262</v>
      </c>
      <c r="P498">
        <f t="shared" si="44"/>
        <v>-8.1795391261713798E-2</v>
      </c>
      <c r="Q498">
        <v>4</v>
      </c>
      <c r="R498">
        <v>43400</v>
      </c>
      <c r="S498">
        <f t="shared" si="45"/>
        <v>4.9382716049382713E-2</v>
      </c>
      <c r="T498">
        <v>29</v>
      </c>
      <c r="U498">
        <v>3</v>
      </c>
      <c r="V498">
        <v>533466</v>
      </c>
      <c r="W498">
        <v>7409721</v>
      </c>
      <c r="X498">
        <f t="shared" si="46"/>
        <v>13.889771794266176</v>
      </c>
      <c r="Y498" t="str">
        <f t="shared" si="47"/>
        <v>Weak Product</v>
      </c>
    </row>
    <row r="499" spans="1:25" x14ac:dyDescent="0.3">
      <c r="A499" t="s">
        <v>1033</v>
      </c>
      <c r="B499" t="s">
        <v>1034</v>
      </c>
      <c r="C499" t="s">
        <v>940</v>
      </c>
      <c r="D499" s="1">
        <v>45300</v>
      </c>
      <c r="E499">
        <v>447</v>
      </c>
      <c r="F499" t="s">
        <v>28</v>
      </c>
      <c r="G499">
        <v>12136</v>
      </c>
      <c r="H499">
        <v>8802</v>
      </c>
      <c r="I499">
        <v>89</v>
      </c>
      <c r="J499">
        <v>126</v>
      </c>
      <c r="K499">
        <v>1529136</v>
      </c>
      <c r="L499">
        <v>253039</v>
      </c>
      <c r="M499">
        <v>1276097</v>
      </c>
      <c r="N499">
        <f t="shared" si="42"/>
        <v>1109052</v>
      </c>
      <c r="O499">
        <f t="shared" si="43"/>
        <v>167045</v>
      </c>
      <c r="P499">
        <f t="shared" si="44"/>
        <v>0.13090305830983068</v>
      </c>
      <c r="Q499">
        <v>9</v>
      </c>
      <c r="R499">
        <v>98298</v>
      </c>
      <c r="S499">
        <f t="shared" si="45"/>
        <v>0.10112359550561797</v>
      </c>
      <c r="T499">
        <v>37</v>
      </c>
      <c r="U499">
        <v>3.51</v>
      </c>
      <c r="V499">
        <v>528276</v>
      </c>
      <c r="W499">
        <v>6794123</v>
      </c>
      <c r="X499">
        <f t="shared" si="46"/>
        <v>12.860934435787353</v>
      </c>
      <c r="Y499" t="str">
        <f t="shared" si="47"/>
        <v>Weak Product</v>
      </c>
    </row>
    <row r="500" spans="1:25" x14ac:dyDescent="0.3">
      <c r="A500" t="s">
        <v>1035</v>
      </c>
      <c r="B500" t="s">
        <v>1036</v>
      </c>
      <c r="C500" t="s">
        <v>940</v>
      </c>
      <c r="D500" s="1">
        <v>45104</v>
      </c>
      <c r="E500">
        <v>643</v>
      </c>
      <c r="F500" t="s">
        <v>28</v>
      </c>
      <c r="G500">
        <v>9260</v>
      </c>
      <c r="H500">
        <v>4855</v>
      </c>
      <c r="I500">
        <v>120</v>
      </c>
      <c r="J500">
        <v>183</v>
      </c>
      <c r="K500">
        <v>1694580</v>
      </c>
      <c r="L500">
        <v>177337</v>
      </c>
      <c r="M500">
        <v>1517243</v>
      </c>
      <c r="N500">
        <f t="shared" si="42"/>
        <v>888465</v>
      </c>
      <c r="O500">
        <f t="shared" si="43"/>
        <v>628778</v>
      </c>
      <c r="P500">
        <f t="shared" si="44"/>
        <v>0.41442142095893669</v>
      </c>
      <c r="Q500">
        <v>9</v>
      </c>
      <c r="R500">
        <v>75006</v>
      </c>
      <c r="S500">
        <f t="shared" si="45"/>
        <v>7.4999999999999997E-2</v>
      </c>
      <c r="T500">
        <v>45</v>
      </c>
      <c r="U500">
        <v>4.33</v>
      </c>
      <c r="V500">
        <v>720182</v>
      </c>
      <c r="W500">
        <v>5567788</v>
      </c>
      <c r="X500">
        <f t="shared" si="46"/>
        <v>7.7310846424931476</v>
      </c>
      <c r="Y500" t="str">
        <f t="shared" si="47"/>
        <v>Weak Product</v>
      </c>
    </row>
    <row r="501" spans="1:25" x14ac:dyDescent="0.3">
      <c r="A501" t="s">
        <v>1037</v>
      </c>
      <c r="B501" t="s">
        <v>1038</v>
      </c>
      <c r="C501" t="s">
        <v>940</v>
      </c>
      <c r="D501" s="1">
        <v>45063</v>
      </c>
      <c r="E501">
        <v>684</v>
      </c>
      <c r="F501" t="s">
        <v>28</v>
      </c>
      <c r="G501">
        <v>17229</v>
      </c>
      <c r="H501">
        <v>13555</v>
      </c>
      <c r="I501">
        <v>58</v>
      </c>
      <c r="J501">
        <v>83</v>
      </c>
      <c r="K501">
        <v>1430007</v>
      </c>
      <c r="L501">
        <v>282173</v>
      </c>
      <c r="M501">
        <v>1147834</v>
      </c>
      <c r="N501">
        <f t="shared" si="42"/>
        <v>1125065</v>
      </c>
      <c r="O501">
        <f t="shared" si="43"/>
        <v>22769</v>
      </c>
      <c r="P501">
        <f t="shared" si="44"/>
        <v>1.9836492036304901E-2</v>
      </c>
      <c r="Q501">
        <v>1</v>
      </c>
      <c r="R501">
        <v>15506</v>
      </c>
      <c r="S501">
        <f t="shared" si="45"/>
        <v>1.7241379310344827E-2</v>
      </c>
      <c r="T501">
        <v>30</v>
      </c>
      <c r="U501">
        <v>3.47</v>
      </c>
      <c r="V501">
        <v>38966</v>
      </c>
      <c r="W501">
        <v>2950202</v>
      </c>
      <c r="X501">
        <f t="shared" si="46"/>
        <v>75.712210645177848</v>
      </c>
      <c r="Y501" t="str">
        <f t="shared" si="47"/>
        <v>Weak Product</v>
      </c>
    </row>
    <row r="503" spans="1:25" ht="15" thickBot="1" x14ac:dyDescent="0.35"/>
    <row r="504" spans="1:25" ht="15" thickBot="1" x14ac:dyDescent="0.35">
      <c r="A504" s="2"/>
      <c r="B504" s="2"/>
      <c r="C504" s="2"/>
      <c r="D504" s="2"/>
      <c r="E504" s="2"/>
      <c r="F504" s="2"/>
      <c r="G504" s="2"/>
      <c r="H504" s="2"/>
      <c r="I504" s="2"/>
      <c r="J504" s="2"/>
      <c r="K504" s="2"/>
      <c r="L504" s="2"/>
      <c r="M504" s="2"/>
    </row>
  </sheetData>
  <conditionalFormatting sqref="P1:P1048576">
    <cfRule type="cellIs" dxfId="2" priority="1" operator="lessThan">
      <formula>0</formula>
    </cfRule>
    <cfRule type="cellIs" dxfId="1" priority="3" operator="lessThan">
      <formula>4.368709446</formula>
    </cfRule>
  </conditionalFormatting>
  <conditionalFormatting sqref="S1:S1048576">
    <cfRule type="cellIs" dxfId="0" priority="2" operator="greaterThan">
      <formula>10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472D6-5288-4086-9A26-D152C4B5106E}">
  <dimension ref="A1:L26"/>
  <sheetViews>
    <sheetView topLeftCell="M1" zoomScale="75" workbookViewId="0">
      <selection activeCell="A3" sqref="A3"/>
    </sheetView>
  </sheetViews>
  <sheetFormatPr defaultRowHeight="14.4" x14ac:dyDescent="0.3"/>
  <cols>
    <col min="1" max="1" width="19.5546875" bestFit="1" customWidth="1"/>
    <col min="2" max="2" width="15.6640625" bestFit="1" customWidth="1"/>
    <col min="3" max="3" width="23.6640625" bestFit="1" customWidth="1"/>
    <col min="4" max="4" width="27.33203125" bestFit="1" customWidth="1"/>
    <col min="9" max="9" width="19.5546875" bestFit="1" customWidth="1"/>
    <col min="10" max="10" width="22.6640625" bestFit="1" customWidth="1"/>
    <col min="11" max="11" width="12.44140625" bestFit="1" customWidth="1"/>
    <col min="12" max="12" width="26.88671875" bestFit="1" customWidth="1"/>
  </cols>
  <sheetData>
    <row r="1" spans="1:12" x14ac:dyDescent="0.3">
      <c r="I1" s="12" t="s">
        <v>1063</v>
      </c>
      <c r="J1" t="s">
        <v>33</v>
      </c>
    </row>
    <row r="3" spans="1:12" x14ac:dyDescent="0.3">
      <c r="A3" s="12" t="s">
        <v>1064</v>
      </c>
      <c r="B3" t="s">
        <v>1066</v>
      </c>
      <c r="C3" t="s">
        <v>1068</v>
      </c>
      <c r="D3" t="s">
        <v>1069</v>
      </c>
      <c r="I3" s="12" t="s">
        <v>1064</v>
      </c>
      <c r="J3" t="s">
        <v>1066</v>
      </c>
      <c r="K3" t="s">
        <v>1067</v>
      </c>
      <c r="L3" t="s">
        <v>1072</v>
      </c>
    </row>
    <row r="4" spans="1:12" x14ac:dyDescent="0.3">
      <c r="A4" s="13" t="s">
        <v>658</v>
      </c>
      <c r="B4" s="17">
        <v>74826270</v>
      </c>
      <c r="C4" s="9">
        <v>7.3426416427756491E-2</v>
      </c>
      <c r="D4" s="9">
        <v>0.20864851184797692</v>
      </c>
      <c r="I4" s="13" t="s">
        <v>31</v>
      </c>
      <c r="J4" s="18">
        <v>124388738</v>
      </c>
      <c r="K4" s="9">
        <v>-0.41560436122440603</v>
      </c>
      <c r="L4" s="18">
        <v>20775949</v>
      </c>
    </row>
    <row r="5" spans="1:12" x14ac:dyDescent="0.3">
      <c r="A5" s="13" t="s">
        <v>32</v>
      </c>
      <c r="B5" s="17">
        <v>218141220</v>
      </c>
      <c r="C5" s="9">
        <v>8.1629680264944812E-2</v>
      </c>
      <c r="D5" s="9">
        <v>0.21040096880767309</v>
      </c>
      <c r="I5" s="13" t="s">
        <v>1065</v>
      </c>
      <c r="J5" s="18">
        <v>124388738</v>
      </c>
      <c r="K5" s="9">
        <v>-0.41560436122440603</v>
      </c>
      <c r="L5" s="18">
        <v>20775949</v>
      </c>
    </row>
    <row r="6" spans="1:12" x14ac:dyDescent="0.3">
      <c r="A6" s="13" t="s">
        <v>819</v>
      </c>
      <c r="B6" s="17">
        <v>59941269</v>
      </c>
      <c r="C6" s="9">
        <v>7.1536211764950286E-2</v>
      </c>
      <c r="D6" s="9">
        <v>0.22487459997668982</v>
      </c>
    </row>
    <row r="7" spans="1:12" x14ac:dyDescent="0.3">
      <c r="A7" s="13" t="s">
        <v>36</v>
      </c>
      <c r="B7" s="17">
        <v>102944760</v>
      </c>
      <c r="C7" s="9">
        <v>6.9584027644839327E-2</v>
      </c>
      <c r="D7" s="9">
        <v>0.22145224603448432</v>
      </c>
    </row>
    <row r="8" spans="1:12" x14ac:dyDescent="0.3">
      <c r="A8" s="13" t="s">
        <v>42</v>
      </c>
      <c r="B8" s="17">
        <v>57457846</v>
      </c>
      <c r="C8" s="9">
        <v>7.1416803655345557E-2</v>
      </c>
      <c r="D8" s="9">
        <v>0.20683311811097324</v>
      </c>
    </row>
    <row r="9" spans="1:12" x14ac:dyDescent="0.3">
      <c r="A9" s="13" t="s">
        <v>940</v>
      </c>
      <c r="B9" s="17">
        <v>41967597</v>
      </c>
      <c r="C9" s="9">
        <v>6.1357833486734563E-2</v>
      </c>
      <c r="D9" s="9">
        <v>0.18010218251169538</v>
      </c>
    </row>
    <row r="10" spans="1:12" x14ac:dyDescent="0.3">
      <c r="A10" s="13" t="s">
        <v>27</v>
      </c>
      <c r="B10" s="17">
        <v>304425761</v>
      </c>
      <c r="C10" s="9">
        <v>5.9447043350345119E-2</v>
      </c>
      <c r="D10" s="9">
        <v>0.21648846008856509</v>
      </c>
    </row>
    <row r="11" spans="1:12" x14ac:dyDescent="0.3">
      <c r="A11" s="13" t="s">
        <v>1065</v>
      </c>
      <c r="B11" s="17">
        <v>859704723</v>
      </c>
      <c r="C11" s="9">
        <v>7.0820338372761624E-2</v>
      </c>
      <c r="D11" s="9">
        <v>0.21101984385681663</v>
      </c>
    </row>
    <row r="13" spans="1:12" x14ac:dyDescent="0.3">
      <c r="A13" s="15"/>
    </row>
    <row r="14" spans="1:12" x14ac:dyDescent="0.3">
      <c r="A14" s="16"/>
    </row>
    <row r="15" spans="1:12" x14ac:dyDescent="0.3">
      <c r="A15" s="15"/>
      <c r="I15" s="12" t="s">
        <v>1064</v>
      </c>
      <c r="J15" t="s">
        <v>1073</v>
      </c>
      <c r="K15" t="s">
        <v>1074</v>
      </c>
    </row>
    <row r="16" spans="1:12" x14ac:dyDescent="0.3">
      <c r="A16" s="16"/>
      <c r="I16" s="13" t="s">
        <v>658</v>
      </c>
      <c r="J16" s="18">
        <v>27810090</v>
      </c>
      <c r="K16">
        <v>1006.3256289659905</v>
      </c>
    </row>
    <row r="17" spans="1:11" x14ac:dyDescent="0.3">
      <c r="A17" s="15"/>
      <c r="I17" s="13" t="s">
        <v>32</v>
      </c>
      <c r="J17" s="18">
        <v>40648516</v>
      </c>
      <c r="K17">
        <v>1182.3121604688429</v>
      </c>
    </row>
    <row r="18" spans="1:11" x14ac:dyDescent="0.3">
      <c r="I18" s="13" t="s">
        <v>819</v>
      </c>
      <c r="J18" s="18">
        <v>22351087</v>
      </c>
      <c r="K18">
        <v>983.87183813343302</v>
      </c>
    </row>
    <row r="19" spans="1:11" x14ac:dyDescent="0.3">
      <c r="I19" s="13" t="s">
        <v>36</v>
      </c>
      <c r="J19" s="18">
        <v>29503956</v>
      </c>
      <c r="K19">
        <v>1040.6595545696575</v>
      </c>
    </row>
    <row r="20" spans="1:11" x14ac:dyDescent="0.3">
      <c r="A20" s="12" t="s">
        <v>1064</v>
      </c>
      <c r="B20" t="s">
        <v>1070</v>
      </c>
      <c r="C20" t="s">
        <v>1071</v>
      </c>
      <c r="I20" s="13" t="s">
        <v>42</v>
      </c>
      <c r="J20" s="18">
        <v>22252762</v>
      </c>
      <c r="K20">
        <v>674.3780963631051</v>
      </c>
    </row>
    <row r="21" spans="1:11" x14ac:dyDescent="0.3">
      <c r="A21" s="13" t="s">
        <v>61</v>
      </c>
      <c r="B21" s="7">
        <v>12</v>
      </c>
      <c r="C21" s="18">
        <v>4381190</v>
      </c>
      <c r="I21" s="13" t="s">
        <v>940</v>
      </c>
      <c r="J21" s="18">
        <v>19179993</v>
      </c>
      <c r="K21">
        <v>673.08689879311498</v>
      </c>
    </row>
    <row r="22" spans="1:11" x14ac:dyDescent="0.3">
      <c r="A22" s="13" t="s">
        <v>44</v>
      </c>
      <c r="B22" s="7">
        <v>1</v>
      </c>
      <c r="C22" s="18">
        <v>821145</v>
      </c>
      <c r="I22" s="13" t="s">
        <v>27</v>
      </c>
      <c r="J22" s="18">
        <v>24229198</v>
      </c>
      <c r="K22">
        <v>865.90870836824831</v>
      </c>
    </row>
    <row r="23" spans="1:11" x14ac:dyDescent="0.3">
      <c r="A23" s="13" t="s">
        <v>33</v>
      </c>
      <c r="B23" s="7">
        <v>1</v>
      </c>
      <c r="C23" s="18">
        <v>-51696502</v>
      </c>
      <c r="I23" s="13" t="s">
        <v>1065</v>
      </c>
      <c r="J23" s="18">
        <v>185975602</v>
      </c>
      <c r="K23">
        <v>6426.5428856623921</v>
      </c>
    </row>
    <row r="24" spans="1:11" x14ac:dyDescent="0.3">
      <c r="A24" s="13" t="s">
        <v>29</v>
      </c>
      <c r="B24" s="7">
        <v>67</v>
      </c>
      <c r="C24" s="18">
        <v>132937459</v>
      </c>
    </row>
    <row r="25" spans="1:11" x14ac:dyDescent="0.3">
      <c r="A25" s="13" t="s">
        <v>39</v>
      </c>
      <c r="B25" s="7">
        <v>419</v>
      </c>
      <c r="C25" s="18">
        <v>69877498</v>
      </c>
    </row>
    <row r="26" spans="1:11" x14ac:dyDescent="0.3">
      <c r="A26" s="13" t="s">
        <v>1065</v>
      </c>
      <c r="B26" s="7">
        <v>500</v>
      </c>
      <c r="C26" s="18">
        <v>156320790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068BA-E4E8-46E9-9FDB-7FCB4C0FA29E}">
  <dimension ref="E1:S59"/>
  <sheetViews>
    <sheetView tabSelected="1" topLeftCell="A3" zoomScale="48" workbookViewId="0">
      <selection activeCell="W52" sqref="W52"/>
    </sheetView>
  </sheetViews>
  <sheetFormatPr defaultRowHeight="14.4" x14ac:dyDescent="0.3"/>
  <cols>
    <col min="8" max="8" width="22" customWidth="1"/>
    <col min="9" max="9" width="24.44140625" bestFit="1" customWidth="1"/>
    <col min="10" max="10" width="19" bestFit="1" customWidth="1"/>
    <col min="11" max="11" width="17.33203125" customWidth="1"/>
    <col min="12" max="12" width="19.6640625" customWidth="1"/>
    <col min="14" max="14" width="12.44140625" bestFit="1" customWidth="1"/>
  </cols>
  <sheetData>
    <row r="1" spans="5:19" x14ac:dyDescent="0.3">
      <c r="E1" s="30" t="s">
        <v>1075</v>
      </c>
      <c r="F1" s="30"/>
      <c r="G1" s="30"/>
      <c r="H1" s="30"/>
      <c r="I1" s="30"/>
      <c r="J1" s="30"/>
      <c r="K1" s="30"/>
      <c r="L1" s="30"/>
      <c r="M1" s="30"/>
      <c r="N1" s="30"/>
      <c r="O1" s="30"/>
      <c r="P1" s="30"/>
      <c r="Q1" s="30"/>
      <c r="R1" s="30"/>
      <c r="S1" s="30"/>
    </row>
    <row r="2" spans="5:19" x14ac:dyDescent="0.3">
      <c r="E2" s="30"/>
      <c r="F2" s="30"/>
      <c r="G2" s="30"/>
      <c r="H2" s="30"/>
      <c r="I2" s="30"/>
      <c r="J2" s="30"/>
      <c r="K2" s="30"/>
      <c r="L2" s="30"/>
      <c r="M2" s="30"/>
      <c r="N2" s="30"/>
      <c r="O2" s="30"/>
      <c r="P2" s="30"/>
      <c r="Q2" s="30"/>
      <c r="R2" s="30"/>
      <c r="S2" s="30"/>
    </row>
    <row r="3" spans="5:19" x14ac:dyDescent="0.3">
      <c r="E3" s="30"/>
      <c r="F3" s="30"/>
      <c r="G3" s="30"/>
      <c r="H3" s="30"/>
      <c r="I3" s="30"/>
      <c r="J3" s="30"/>
      <c r="K3" s="30"/>
      <c r="L3" s="30"/>
      <c r="M3" s="30"/>
      <c r="N3" s="30"/>
      <c r="O3" s="30"/>
      <c r="P3" s="30"/>
      <c r="Q3" s="30"/>
      <c r="R3" s="30"/>
      <c r="S3" s="30"/>
    </row>
    <row r="19" spans="6:14" x14ac:dyDescent="0.3">
      <c r="F19" s="15"/>
    </row>
    <row r="20" spans="6:14" ht="28.8" x14ac:dyDescent="0.55000000000000004">
      <c r="F20" s="16"/>
      <c r="I20" s="31" t="s">
        <v>1087</v>
      </c>
      <c r="J20" s="32"/>
      <c r="K20" s="32"/>
      <c r="L20" s="32"/>
    </row>
    <row r="21" spans="6:14" ht="15" thickBot="1" x14ac:dyDescent="0.35">
      <c r="F21" s="15"/>
      <c r="I21" s="23" t="s">
        <v>1076</v>
      </c>
      <c r="J21" s="24" t="s">
        <v>1077</v>
      </c>
      <c r="K21" s="24" t="s">
        <v>1078</v>
      </c>
      <c r="L21" s="25" t="s">
        <v>1079</v>
      </c>
    </row>
    <row r="22" spans="6:14" ht="15" thickBot="1" x14ac:dyDescent="0.35">
      <c r="F22" s="16"/>
      <c r="I22" s="21" t="s">
        <v>29</v>
      </c>
      <c r="J22" s="19">
        <v>67</v>
      </c>
      <c r="K22" s="20">
        <v>0.13400000000000001</v>
      </c>
      <c r="L22" s="22" t="s">
        <v>1080</v>
      </c>
    </row>
    <row r="23" spans="6:14" ht="28.2" thickBot="1" x14ac:dyDescent="0.35">
      <c r="F23" s="15"/>
      <c r="I23" s="21" t="s">
        <v>33</v>
      </c>
      <c r="J23" s="19" t="s">
        <v>1081</v>
      </c>
      <c r="K23" s="20">
        <v>2E-3</v>
      </c>
      <c r="L23" s="22" t="s">
        <v>1082</v>
      </c>
    </row>
    <row r="24" spans="6:14" ht="15" thickBot="1" x14ac:dyDescent="0.35">
      <c r="F24" s="16"/>
      <c r="I24" s="21" t="s">
        <v>61</v>
      </c>
      <c r="J24" s="19">
        <v>12</v>
      </c>
      <c r="K24" s="20">
        <v>2.4E-2</v>
      </c>
      <c r="L24" s="22" t="s">
        <v>1083</v>
      </c>
    </row>
    <row r="25" spans="6:14" ht="15" thickBot="1" x14ac:dyDescent="0.35">
      <c r="F25" s="15"/>
      <c r="I25" s="21" t="s">
        <v>39</v>
      </c>
      <c r="J25" s="19">
        <v>419</v>
      </c>
      <c r="K25" s="20">
        <v>0.83799999999999997</v>
      </c>
      <c r="L25" s="22" t="s">
        <v>1084</v>
      </c>
    </row>
    <row r="26" spans="6:14" ht="27.6" x14ac:dyDescent="0.3">
      <c r="I26" s="26" t="s">
        <v>44</v>
      </c>
      <c r="J26" s="27" t="s">
        <v>1085</v>
      </c>
      <c r="K26" s="28">
        <v>2E-3</v>
      </c>
      <c r="L26" s="29" t="s">
        <v>1086</v>
      </c>
    </row>
    <row r="29" spans="6:14" x14ac:dyDescent="0.3">
      <c r="G29" s="31" t="s">
        <v>1101</v>
      </c>
      <c r="H29" s="32"/>
      <c r="I29" s="32"/>
      <c r="J29" s="32"/>
      <c r="K29" s="32"/>
      <c r="L29" s="32"/>
      <c r="M29" s="32"/>
      <c r="N29" s="32"/>
    </row>
    <row r="30" spans="6:14" x14ac:dyDescent="0.3">
      <c r="G30" s="32"/>
      <c r="H30" s="32"/>
      <c r="I30" s="32"/>
      <c r="J30" s="32"/>
      <c r="K30" s="32"/>
      <c r="L30" s="32"/>
      <c r="M30" s="32"/>
      <c r="N30" s="32"/>
    </row>
    <row r="31" spans="6:14" x14ac:dyDescent="0.3">
      <c r="G31" t="s">
        <v>1088</v>
      </c>
      <c r="H31" t="s">
        <v>1040</v>
      </c>
      <c r="I31" t="s">
        <v>1051</v>
      </c>
      <c r="J31" t="s">
        <v>1054</v>
      </c>
      <c r="K31" t="s">
        <v>1057</v>
      </c>
      <c r="L31" t="s">
        <v>1089</v>
      </c>
      <c r="M31" t="s">
        <v>1062</v>
      </c>
      <c r="N31" t="s">
        <v>1090</v>
      </c>
    </row>
    <row r="32" spans="6:14" x14ac:dyDescent="0.3">
      <c r="G32" t="s">
        <v>25</v>
      </c>
      <c r="H32" t="s">
        <v>26</v>
      </c>
      <c r="I32" t="s">
        <v>1091</v>
      </c>
      <c r="J32" s="9">
        <v>0.40550000000000003</v>
      </c>
      <c r="K32" s="9">
        <v>2.0400000000000001E-2</v>
      </c>
      <c r="L32">
        <v>4.66</v>
      </c>
      <c r="M32" t="s">
        <v>1096</v>
      </c>
      <c r="N32" t="s">
        <v>29</v>
      </c>
    </row>
    <row r="33" spans="7:14" x14ac:dyDescent="0.3">
      <c r="G33" t="s">
        <v>30</v>
      </c>
      <c r="H33" t="s">
        <v>31</v>
      </c>
      <c r="I33" t="s">
        <v>1092</v>
      </c>
      <c r="J33" s="9">
        <v>-0.41560000000000002</v>
      </c>
      <c r="K33" s="9">
        <v>0.1812</v>
      </c>
      <c r="L33">
        <v>3.2</v>
      </c>
      <c r="M33" t="s">
        <v>1097</v>
      </c>
      <c r="N33" t="s">
        <v>33</v>
      </c>
    </row>
    <row r="34" spans="7:14" x14ac:dyDescent="0.3">
      <c r="G34" t="s">
        <v>34</v>
      </c>
      <c r="H34" t="s">
        <v>35</v>
      </c>
      <c r="I34" t="s">
        <v>1093</v>
      </c>
      <c r="J34" s="9">
        <v>0.5202</v>
      </c>
      <c r="K34" s="9">
        <v>3.0300000000000001E-2</v>
      </c>
      <c r="L34">
        <v>4.5599999999999996</v>
      </c>
      <c r="M34" t="s">
        <v>1098</v>
      </c>
      <c r="N34" t="s">
        <v>29</v>
      </c>
    </row>
    <row r="35" spans="7:14" x14ac:dyDescent="0.3">
      <c r="G35" t="s">
        <v>37</v>
      </c>
      <c r="H35" t="s">
        <v>38</v>
      </c>
      <c r="I35" t="s">
        <v>1094</v>
      </c>
      <c r="J35" s="9">
        <v>7.51E-2</v>
      </c>
      <c r="K35" s="9">
        <v>0.2248</v>
      </c>
      <c r="L35">
        <v>2.8</v>
      </c>
      <c r="M35" t="s">
        <v>1099</v>
      </c>
      <c r="N35" t="s">
        <v>39</v>
      </c>
    </row>
    <row r="36" spans="7:14" x14ac:dyDescent="0.3">
      <c r="G36" t="s">
        <v>40</v>
      </c>
      <c r="H36" t="s">
        <v>41</v>
      </c>
      <c r="I36" t="s">
        <v>1095</v>
      </c>
      <c r="J36" s="9">
        <v>0.46060000000000001</v>
      </c>
      <c r="K36" s="9">
        <v>4.1000000000000002E-2</v>
      </c>
      <c r="L36">
        <v>4.2</v>
      </c>
      <c r="M36" t="s">
        <v>1100</v>
      </c>
      <c r="N36" t="s">
        <v>43</v>
      </c>
    </row>
    <row r="46" spans="7:14" x14ac:dyDescent="0.3">
      <c r="I46" s="14"/>
    </row>
    <row r="47" spans="7:14" x14ac:dyDescent="0.3">
      <c r="I47" s="15"/>
    </row>
    <row r="49" spans="9:9" x14ac:dyDescent="0.3">
      <c r="I49" s="14"/>
    </row>
    <row r="50" spans="9:9" x14ac:dyDescent="0.3">
      <c r="I50" s="15"/>
    </row>
    <row r="52" spans="9:9" x14ac:dyDescent="0.3">
      <c r="I52" s="14"/>
    </row>
    <row r="53" spans="9:9" x14ac:dyDescent="0.3">
      <c r="I53" s="15"/>
    </row>
    <row r="55" spans="9:9" x14ac:dyDescent="0.3">
      <c r="I55" s="14"/>
    </row>
    <row r="56" spans="9:9" x14ac:dyDescent="0.3">
      <c r="I56" s="15"/>
    </row>
    <row r="58" spans="9:9" x14ac:dyDescent="0.3">
      <c r="I58" s="14"/>
    </row>
    <row r="59" spans="9:9" x14ac:dyDescent="0.3">
      <c r="I59" s="15"/>
    </row>
  </sheetData>
  <mergeCells count="3">
    <mergeCell ref="E1:S3"/>
    <mergeCell ref="I20:L20"/>
    <mergeCell ref="G29:N30"/>
  </mergeCells>
  <phoneticPr fontId="19" type="noConversion"/>
  <pageMargins left="0.7" right="0.7" top="0.75" bottom="0.75" header="0.3" footer="0.3"/>
  <drawing r:id="rId1"/>
  <tableParts count="2">
    <tablePart r:id="rId2"/>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Clean_Data</vt:lpstr>
      <vt:lpstr>Calculations</vt:lpstr>
      <vt:lpstr>Pivot_Analysis</vt:lpstr>
      <vt:lpstr>Summary_Dashboard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Niketh Kammari</cp:lastModifiedBy>
  <dcterms:created xsi:type="dcterms:W3CDTF">2026-09-25T03:22:29Z</dcterms:created>
  <dcterms:modified xsi:type="dcterms:W3CDTF">2026-09-25T15:56:53Z</dcterms:modified>
</cp:coreProperties>
</file>